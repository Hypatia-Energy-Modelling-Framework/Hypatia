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evo\OneDrive - Politecnico di Milano\Research\Models\Hypatia\Hypatia-TEM2526\hypatia\examples\Atlantis\parameters\"/>
    </mc:Choice>
  </mc:AlternateContent>
  <xr:revisionPtr revIDLastSave="0" documentId="13_ncr:1_{EA5A6E7A-5AF7-4CB0-9458-6CB4876D26F6}" xr6:coauthVersionLast="47" xr6:coauthVersionMax="47" xr10:uidLastSave="{00000000-0000-0000-0000-000000000000}"/>
  <bookViews>
    <workbookView xWindow="-110" yWindow="-110" windowWidth="19420" windowHeight="11500" firstSheet="12" activeTab="12" xr2:uid="{00000000-000D-0000-FFFF-FFFF00000000}"/>
  </bookViews>
  <sheets>
    <sheet name="F_OM" sheetId="1" r:id="rId1"/>
    <sheet name="V_OM" sheetId="2" r:id="rId2"/>
    <sheet name="Residual_capacity" sheetId="3" r:id="rId3"/>
    <sheet name="Specific_emission" sheetId="4" r:id="rId4"/>
    <sheet name="Specific_land_usage" sheetId="5" r:id="rId5"/>
    <sheet name="Emission_capture_efficiency" sheetId="6" r:id="rId6"/>
    <sheet name="Emission_tax" sheetId="7" r:id="rId7"/>
    <sheet name="Fix_taxsub" sheetId="8" r:id="rId8"/>
    <sheet name="AnnualProd_perunit_capacity" sheetId="9" r:id="rId9"/>
    <sheet name="INV" sheetId="10" r:id="rId10"/>
    <sheet name="Investment_taxsub" sheetId="11" r:id="rId11"/>
    <sheet name="Decom_cost" sheetId="12" r:id="rId12"/>
    <sheet name="Discount_rate" sheetId="13" r:id="rId13"/>
    <sheet name="Tech_lifetime" sheetId="14" r:id="rId14"/>
    <sheet name="Economic_lifetime" sheetId="15" r:id="rId15"/>
    <sheet name="Time_of_construction" sheetId="16" r:id="rId16"/>
    <sheet name="Interest_rate" sheetId="17" r:id="rId17"/>
    <sheet name="Modular_cap_unit" sheetId="18" r:id="rId18"/>
    <sheet name="Demand" sheetId="19" r:id="rId19"/>
    <sheet name="Tech_availability" sheetId="20" r:id="rId20"/>
    <sheet name="Min_capacity_factor_tech" sheetId="21" r:id="rId21"/>
    <sheet name="Max_capacity_factor_tech" sheetId="22" r:id="rId22"/>
    <sheet name="capacity_factor_resource" sheetId="23" r:id="rId23"/>
    <sheet name="Min_totalcap" sheetId="24" r:id="rId24"/>
    <sheet name="Max_totalcap" sheetId="25" r:id="rId25"/>
    <sheet name="Min_newcap" sheetId="26" r:id="rId26"/>
    <sheet name="Max_newcap" sheetId="27" r:id="rId27"/>
    <sheet name="Tech_efficiency" sheetId="28" r:id="rId28"/>
    <sheet name="Max_production" sheetId="29" r:id="rId29"/>
    <sheet name="Min_production" sheetId="30" r:id="rId30"/>
    <sheet name="Max_production_share" sheetId="31" r:id="rId31"/>
    <sheet name="Min_production_share" sheetId="32" r:id="rId32"/>
    <sheet name="Emission_cap_annual" sheetId="33" r:id="rId33"/>
    <sheet name="Emission_cap_annual_power" sheetId="34" r:id="rId34"/>
    <sheet name="Emission_Storage_annual" sheetId="35" r:id="rId35"/>
    <sheet name="Renewable_tech_selection" sheetId="36" r:id="rId36"/>
    <sheet name="Min_RES_production_share" sheetId="37" r:id="rId37"/>
    <sheet name="Min_RES_electric_share" sheetId="38" r:id="rId38"/>
    <sheet name="Max_land_usage" sheetId="39" r:id="rId3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5" i="19" l="1"/>
  <c r="C264" i="19"/>
  <c r="C263" i="19"/>
  <c r="C262" i="19"/>
  <c r="C261" i="19"/>
  <c r="C260" i="19"/>
  <c r="C259" i="19"/>
  <c r="C258" i="19"/>
  <c r="C257" i="19"/>
  <c r="C256" i="19"/>
  <c r="C255" i="19"/>
  <c r="C254" i="19"/>
  <c r="C253" i="19"/>
  <c r="C252" i="19"/>
  <c r="C251" i="19"/>
  <c r="C250" i="19"/>
  <c r="C249" i="19"/>
  <c r="C248" i="19"/>
  <c r="C247" i="19"/>
  <c r="C246" i="19"/>
  <c r="C245" i="19"/>
  <c r="C244" i="19"/>
  <c r="C243" i="19"/>
  <c r="C242" i="19"/>
  <c r="C241" i="19"/>
  <c r="C240" i="19"/>
  <c r="C239" i="19"/>
  <c r="C238" i="19"/>
  <c r="C237" i="19"/>
  <c r="C236" i="19"/>
  <c r="C235" i="19"/>
  <c r="C234" i="19"/>
  <c r="C233" i="19"/>
  <c r="C232" i="19"/>
  <c r="C231" i="19"/>
  <c r="C230" i="19"/>
  <c r="C229" i="19"/>
  <c r="C228" i="19"/>
  <c r="C227" i="19"/>
  <c r="C226" i="19"/>
  <c r="C225" i="19"/>
  <c r="C224" i="19"/>
  <c r="C223" i="19"/>
  <c r="C222" i="19"/>
  <c r="C221" i="19"/>
  <c r="C220" i="19"/>
  <c r="C219" i="19"/>
  <c r="C218" i="19"/>
  <c r="C217" i="19"/>
  <c r="C216" i="19"/>
  <c r="C215" i="19"/>
  <c r="C214" i="19"/>
  <c r="C213" i="19"/>
  <c r="C212" i="19"/>
  <c r="C211" i="19"/>
  <c r="C210" i="19"/>
  <c r="C209" i="19"/>
  <c r="C208" i="19"/>
  <c r="C207" i="19"/>
  <c r="C206" i="19"/>
  <c r="C205" i="19"/>
  <c r="C204" i="19"/>
  <c r="C203" i="19"/>
  <c r="C202" i="19"/>
  <c r="C201" i="19"/>
  <c r="C200" i="19"/>
  <c r="C199" i="19"/>
  <c r="C198" i="19"/>
  <c r="C197" i="19"/>
  <c r="C196" i="19"/>
  <c r="C195" i="19"/>
  <c r="C194" i="19"/>
  <c r="C193" i="19"/>
  <c r="C192" i="19"/>
  <c r="C191" i="19"/>
  <c r="C190" i="19"/>
  <c r="C189" i="19"/>
  <c r="C188" i="19"/>
  <c r="C187" i="19"/>
  <c r="C186" i="19"/>
  <c r="C185" i="19"/>
  <c r="C184" i="19"/>
  <c r="C183" i="19"/>
  <c r="C182" i="19"/>
  <c r="C181" i="19"/>
  <c r="C180" i="19"/>
  <c r="C179" i="19"/>
  <c r="C178" i="19"/>
  <c r="C177" i="19"/>
  <c r="C176" i="19"/>
  <c r="C175" i="19"/>
  <c r="C174" i="19"/>
  <c r="C173" i="19"/>
  <c r="C172" i="19"/>
  <c r="C171" i="19"/>
  <c r="C170" i="19"/>
  <c r="C169" i="19"/>
  <c r="C168" i="19"/>
  <c r="C167" i="19"/>
  <c r="C166" i="19"/>
  <c r="C165" i="19"/>
  <c r="C164" i="19"/>
  <c r="C163" i="19"/>
  <c r="C162" i="19"/>
  <c r="C161" i="19"/>
  <c r="C160" i="19"/>
  <c r="C159" i="19"/>
  <c r="C158" i="19"/>
  <c r="C157" i="19"/>
  <c r="C156" i="19"/>
  <c r="C155" i="19"/>
  <c r="C154" i="19"/>
  <c r="C153" i="19"/>
  <c r="C152" i="19"/>
  <c r="C151" i="19"/>
  <c r="C150" i="19"/>
  <c r="C149" i="19"/>
  <c r="C148" i="19"/>
  <c r="C147" i="19"/>
  <c r="C146" i="19"/>
  <c r="C145" i="19"/>
  <c r="C144" i="19"/>
  <c r="C143" i="19"/>
  <c r="C142" i="19"/>
  <c r="C141" i="19"/>
  <c r="C140" i="19"/>
  <c r="C139" i="19"/>
  <c r="C138" i="19"/>
  <c r="C137" i="19"/>
  <c r="C136" i="19"/>
  <c r="C135" i="19"/>
  <c r="C134" i="19"/>
  <c r="C133" i="19"/>
  <c r="C132" i="19"/>
  <c r="C131" i="19"/>
  <c r="C130" i="19"/>
  <c r="C129" i="19"/>
  <c r="C128" i="19"/>
  <c r="C127" i="19"/>
  <c r="C126" i="19"/>
  <c r="C125" i="19"/>
  <c r="C124" i="19"/>
  <c r="C123" i="19"/>
  <c r="C122" i="19"/>
  <c r="C121" i="19"/>
  <c r="C120" i="19"/>
  <c r="C119" i="19"/>
  <c r="C118" i="19"/>
  <c r="C117" i="19"/>
  <c r="C116" i="19"/>
  <c r="C115" i="19"/>
  <c r="C114" i="19"/>
  <c r="C113" i="19"/>
  <c r="C112" i="19"/>
  <c r="C111" i="19"/>
  <c r="C110" i="19"/>
  <c r="C109" i="19"/>
  <c r="C108" i="19"/>
  <c r="C107" i="19"/>
  <c r="C106" i="19"/>
  <c r="C105" i="19"/>
  <c r="C104" i="19"/>
  <c r="C103" i="19"/>
  <c r="C102" i="19"/>
  <c r="C101" i="19"/>
  <c r="C100" i="19"/>
  <c r="C99" i="19"/>
  <c r="C98" i="19"/>
  <c r="C97" i="19"/>
  <c r="C96" i="19"/>
  <c r="C95" i="19"/>
  <c r="C94" i="19"/>
  <c r="C93" i="19"/>
  <c r="C92" i="19"/>
  <c r="C91" i="19"/>
  <c r="C90" i="19"/>
  <c r="C89" i="19"/>
  <c r="C88" i="19"/>
  <c r="C87" i="19"/>
  <c r="C86" i="19"/>
  <c r="C85" i="19"/>
  <c r="C84" i="19"/>
  <c r="C83" i="19"/>
  <c r="C82" i="19"/>
  <c r="C81" i="19"/>
  <c r="C80" i="19"/>
  <c r="C79" i="19"/>
  <c r="C78" i="19"/>
  <c r="C77" i="19"/>
  <c r="C76" i="19"/>
  <c r="C75" i="19"/>
  <c r="C74" i="19"/>
  <c r="C73" i="19"/>
  <c r="C72" i="19"/>
  <c r="C71" i="19"/>
  <c r="C70" i="19"/>
  <c r="C69" i="19"/>
  <c r="C68" i="19"/>
  <c r="C67" i="19"/>
  <c r="C66" i="19"/>
  <c r="C65" i="19"/>
  <c r="C64" i="19"/>
  <c r="C63" i="19"/>
  <c r="C62" i="19"/>
  <c r="C61" i="19"/>
  <c r="C60" i="19"/>
  <c r="C59" i="19"/>
  <c r="C58" i="19"/>
  <c r="C57" i="19"/>
  <c r="C56" i="19"/>
  <c r="C55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C2" i="19"/>
  <c r="B5" i="2"/>
  <c r="B6" i="2"/>
  <c r="B7" i="2"/>
  <c r="B8" i="2"/>
  <c r="B9" i="2"/>
  <c r="B10" i="2"/>
  <c r="B11" i="2"/>
  <c r="B12" i="2"/>
  <c r="B13" i="2"/>
  <c r="B14" i="2"/>
  <c r="B4" i="2"/>
  <c r="B6" i="4"/>
  <c r="B7" i="4"/>
  <c r="B8" i="4"/>
  <c r="B9" i="4"/>
  <c r="B10" i="4"/>
  <c r="B11" i="4"/>
  <c r="B12" i="4"/>
  <c r="B13" i="4"/>
  <c r="B14" i="4"/>
  <c r="B15" i="4"/>
  <c r="B5" i="4"/>
  <c r="B4" i="9"/>
  <c r="E14" i="3"/>
  <c r="E13" i="3"/>
  <c r="E12" i="3"/>
  <c r="E11" i="3"/>
  <c r="E10" i="3"/>
  <c r="E9" i="3"/>
  <c r="E8" i="3"/>
  <c r="E7" i="3"/>
  <c r="E6" i="3"/>
  <c r="E5" i="3"/>
  <c r="E4" i="3"/>
  <c r="B5" i="3"/>
  <c r="B6" i="3"/>
  <c r="B7" i="3"/>
  <c r="B8" i="3"/>
  <c r="B9" i="3"/>
  <c r="B10" i="3"/>
  <c r="B11" i="3"/>
  <c r="B12" i="3"/>
  <c r="B13" i="3"/>
  <c r="B14" i="3"/>
  <c r="B4" i="3"/>
</calcChain>
</file>

<file path=xl/sharedStrings.xml><?xml version="1.0" encoding="utf-8"?>
<sst xmlns="http://schemas.openxmlformats.org/spreadsheetml/2006/main" count="709" uniqueCount="43">
  <si>
    <t>Tech_category</t>
  </si>
  <si>
    <t>Supply</t>
  </si>
  <si>
    <t>Conversion</t>
  </si>
  <si>
    <t>Transmission</t>
  </si>
  <si>
    <t>Technology</t>
  </si>
  <si>
    <t>FossilFuel_supply</t>
  </si>
  <si>
    <t>RES_PP</t>
  </si>
  <si>
    <t>FossilFuel_PP</t>
  </si>
  <si>
    <t>Elec_distribution</t>
  </si>
  <si>
    <t>Years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</si>
  <si>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</si>
  <si>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</si>
  <si>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</si>
  <si>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</si>
  <si>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</si>
  <si>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</si>
  <si>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</si>
  <si>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</si>
  <si>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</si>
  <si>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</si>
  <si>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</si>
  <si>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Emission Type</t>
  </si>
  <si>
    <t>CO2</t>
  </si>
  <si>
    <t>Taxes or Subsidies</t>
  </si>
  <si>
    <t>Tax</t>
  </si>
  <si>
    <t>Sub</t>
  </si>
  <si>
    <t>Performance Parameter</t>
  </si>
  <si>
    <t>AnnualProd_Per_UnitCapacity</t>
  </si>
  <si>
    <t>Annual Discount Rate</t>
  </si>
  <si>
    <t>Technical Life time</t>
  </si>
  <si>
    <t>Economic Life time</t>
  </si>
  <si>
    <t>Time of construction</t>
  </si>
  <si>
    <t>Interest Rate</t>
  </si>
  <si>
    <t>Parameter</t>
  </si>
  <si>
    <t>Step capacity increase</t>
  </si>
  <si>
    <t>Timesteps</t>
  </si>
  <si>
    <t>Electricity_demand</t>
  </si>
  <si>
    <t>CO2 Global Cap</t>
  </si>
  <si>
    <t>CO2 Power Cap</t>
  </si>
  <si>
    <t>CO2 Stored Cap</t>
  </si>
  <si>
    <t>Renewable technology (1) or not (0)</t>
  </si>
  <si>
    <t>Min Renewable Energy Production Share (from 0 to 1)</t>
  </si>
  <si>
    <t>Min Renewable Electricity Production Share (from 0 to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</si>
</sst>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zoomScale="145" zoomScaleNormal="145" workbookViewId="0">
      <selection activeCell="C4" sqref="C4:C14"/>
    </sheetView>
  </sheetViews>
  <sheetFormatPr defaultRowHeight="14.5" x14ac:dyDescent="0.35"/>
  <cols>
    <col min="2" max="2" width="15.36328125" bestFit="1" customWidth="1"/>
    <col min="3" max="3" width="7" bestFit="1" customWidth="1"/>
    <col min="4" max="4" width="12" bestFit="1" customWidth="1"/>
    <col min="5" max="5" width="15" bestFit="1" customWidth="1"/>
  </cols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11</v>
      </c>
      <c r="D4">
        <v>8</v>
      </c>
      <c r="E4">
        <v>0</v>
      </c>
    </row>
    <row r="5" spans="1:5" x14ac:dyDescent="0.35">
      <c r="A5" s="1" t="s">
        <v>11</v>
      </c>
      <c r="B5">
        <v>0</v>
      </c>
      <c r="C5">
        <v>11</v>
      </c>
      <c r="D5">
        <v>8</v>
      </c>
      <c r="E5">
        <v>0</v>
      </c>
    </row>
    <row r="6" spans="1:5" x14ac:dyDescent="0.35">
      <c r="A6" s="1" t="s">
        <v>12</v>
      </c>
      <c r="B6">
        <v>0</v>
      </c>
      <c r="C6">
        <v>11</v>
      </c>
      <c r="D6">
        <v>8</v>
      </c>
      <c r="E6">
        <v>0</v>
      </c>
    </row>
    <row r="7" spans="1:5" x14ac:dyDescent="0.35">
      <c r="A7" s="1" t="s">
        <v>13</v>
      </c>
      <c r="B7">
        <v>0</v>
      </c>
      <c r="C7">
        <v>11</v>
      </c>
      <c r="D7">
        <v>8</v>
      </c>
      <c r="E7">
        <v>0</v>
      </c>
    </row>
    <row r="8" spans="1:5" x14ac:dyDescent="0.35">
      <c r="A8" s="1" t="s">
        <v>14</v>
      </c>
      <c r="B8">
        <v>0</v>
      </c>
      <c r="C8">
        <v>11</v>
      </c>
      <c r="D8">
        <v>8</v>
      </c>
      <c r="E8">
        <v>0</v>
      </c>
    </row>
    <row r="9" spans="1:5" x14ac:dyDescent="0.35">
      <c r="A9" s="1" t="s">
        <v>15</v>
      </c>
      <c r="B9">
        <v>0</v>
      </c>
      <c r="C9">
        <v>11</v>
      </c>
      <c r="D9">
        <v>8</v>
      </c>
      <c r="E9">
        <v>0</v>
      </c>
    </row>
    <row r="10" spans="1:5" x14ac:dyDescent="0.35">
      <c r="A10" s="1" t="s">
        <v>16</v>
      </c>
      <c r="B10">
        <v>0</v>
      </c>
      <c r="C10">
        <v>11</v>
      </c>
      <c r="D10">
        <v>8</v>
      </c>
      <c r="E10">
        <v>0</v>
      </c>
    </row>
    <row r="11" spans="1:5" x14ac:dyDescent="0.35">
      <c r="A11" s="1" t="s">
        <v>17</v>
      </c>
      <c r="B11">
        <v>0</v>
      </c>
      <c r="C11">
        <v>11</v>
      </c>
      <c r="D11">
        <v>8</v>
      </c>
      <c r="E11">
        <v>0</v>
      </c>
    </row>
    <row r="12" spans="1:5" x14ac:dyDescent="0.35">
      <c r="A12" s="1" t="s">
        <v>18</v>
      </c>
      <c r="B12">
        <v>0</v>
      </c>
      <c r="C12">
        <v>11</v>
      </c>
      <c r="D12">
        <v>8</v>
      </c>
      <c r="E12">
        <v>0</v>
      </c>
    </row>
    <row r="13" spans="1:5" x14ac:dyDescent="0.35">
      <c r="A13" s="1" t="s">
        <v>19</v>
      </c>
      <c r="B13">
        <v>0</v>
      </c>
      <c r="C13">
        <v>11</v>
      </c>
      <c r="D13">
        <v>8</v>
      </c>
      <c r="E13">
        <v>0</v>
      </c>
    </row>
    <row r="14" spans="1:5" x14ac:dyDescent="0.35">
      <c r="A14" s="1" t="s">
        <v>20</v>
      </c>
      <c r="B14">
        <v>0</v>
      </c>
      <c r="C14">
        <v>11</v>
      </c>
      <c r="D14">
        <v>8</v>
      </c>
      <c r="E14">
        <v>0</v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zoomScale="160" zoomScaleNormal="160" workbookViewId="0">
      <selection activeCell="B4" sqref="B4:B14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f>15/10^3</f>
        <v>1.4999999999999999E-2</v>
      </c>
      <c r="C4">
        <v>0</v>
      </c>
      <c r="D4">
        <v>0.12</v>
      </c>
      <c r="E4">
        <v>0</v>
      </c>
    </row>
    <row r="5" spans="1:5" x14ac:dyDescent="0.35">
      <c r="A5" s="1" t="s">
        <v>11</v>
      </c>
      <c r="B5">
        <f t="shared" ref="B5:B14" si="0">15/10^3</f>
        <v>1.4999999999999999E-2</v>
      </c>
      <c r="C5">
        <v>0</v>
      </c>
      <c r="D5">
        <v>0.12</v>
      </c>
      <c r="E5">
        <v>0</v>
      </c>
    </row>
    <row r="6" spans="1:5" x14ac:dyDescent="0.35">
      <c r="A6" s="1" t="s">
        <v>12</v>
      </c>
      <c r="B6">
        <f t="shared" si="0"/>
        <v>1.4999999999999999E-2</v>
      </c>
      <c r="C6">
        <v>0</v>
      </c>
      <c r="D6">
        <v>0.12</v>
      </c>
      <c r="E6">
        <v>0</v>
      </c>
    </row>
    <row r="7" spans="1:5" x14ac:dyDescent="0.35">
      <c r="A7" s="1" t="s">
        <v>13</v>
      </c>
      <c r="B7">
        <f t="shared" si="0"/>
        <v>1.4999999999999999E-2</v>
      </c>
      <c r="C7">
        <v>0</v>
      </c>
      <c r="D7">
        <v>0.12</v>
      </c>
      <c r="E7">
        <v>0</v>
      </c>
    </row>
    <row r="8" spans="1:5" x14ac:dyDescent="0.35">
      <c r="A8" s="1" t="s">
        <v>14</v>
      </c>
      <c r="B8">
        <f t="shared" si="0"/>
        <v>1.4999999999999999E-2</v>
      </c>
      <c r="C8">
        <v>0</v>
      </c>
      <c r="D8">
        <v>0.12</v>
      </c>
      <c r="E8">
        <v>0</v>
      </c>
    </row>
    <row r="9" spans="1:5" x14ac:dyDescent="0.35">
      <c r="A9" s="1" t="s">
        <v>15</v>
      </c>
      <c r="B9">
        <f t="shared" si="0"/>
        <v>1.4999999999999999E-2</v>
      </c>
      <c r="C9">
        <v>0</v>
      </c>
      <c r="D9">
        <v>0.12</v>
      </c>
      <c r="E9">
        <v>0</v>
      </c>
    </row>
    <row r="10" spans="1:5" x14ac:dyDescent="0.35">
      <c r="A10" s="1" t="s">
        <v>16</v>
      </c>
      <c r="B10">
        <f t="shared" si="0"/>
        <v>1.4999999999999999E-2</v>
      </c>
      <c r="C10">
        <v>0</v>
      </c>
      <c r="D10">
        <v>0.12</v>
      </c>
      <c r="E10">
        <v>0</v>
      </c>
    </row>
    <row r="11" spans="1:5" x14ac:dyDescent="0.35">
      <c r="A11" s="1" t="s">
        <v>17</v>
      </c>
      <c r="B11">
        <f t="shared" si="0"/>
        <v>1.4999999999999999E-2</v>
      </c>
      <c r="C11">
        <v>0</v>
      </c>
      <c r="D11">
        <v>0.12</v>
      </c>
      <c r="E11">
        <v>0</v>
      </c>
    </row>
    <row r="12" spans="1:5" x14ac:dyDescent="0.35">
      <c r="A12" s="1" t="s">
        <v>18</v>
      </c>
      <c r="B12">
        <f t="shared" si="0"/>
        <v>1.4999999999999999E-2</v>
      </c>
      <c r="C12">
        <v>0</v>
      </c>
      <c r="D12">
        <v>0.12</v>
      </c>
      <c r="E12">
        <v>0</v>
      </c>
    </row>
    <row r="13" spans="1:5" x14ac:dyDescent="0.35">
      <c r="A13" s="1" t="s">
        <v>19</v>
      </c>
      <c r="B13">
        <f t="shared" si="0"/>
        <v>1.4999999999999999E-2</v>
      </c>
      <c r="C13">
        <v>0</v>
      </c>
      <c r="D13">
        <v>0.12</v>
      </c>
      <c r="E13">
        <v>0</v>
      </c>
    </row>
    <row r="14" spans="1:5" x14ac:dyDescent="0.35">
      <c r="A14" s="1" t="s">
        <v>20</v>
      </c>
      <c r="B14">
        <f t="shared" si="0"/>
        <v>1.4999999999999999E-2</v>
      </c>
      <c r="C14">
        <v>0</v>
      </c>
      <c r="D14">
        <v>0.12</v>
      </c>
      <c r="E14">
        <v>0</v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zoomScale="160" zoomScaleNormal="160" workbookViewId="0">
      <selection activeCell="F5" sqref="F5"/>
    </sheetView>
  </sheetViews>
  <sheetFormatPr defaultRowHeight="14.5" x14ac:dyDescent="0.35"/>
  <cols>
    <col min="2" max="2" width="15.36328125" bestFit="1" customWidth="1"/>
    <col min="3" max="3" width="7" bestFit="1" customWidth="1"/>
    <col min="4" max="4" width="12" bestFit="1" customWidth="1"/>
    <col min="5" max="5" width="15" bestFit="1" customWidth="1"/>
  </cols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f>10^10</f>
        <v>10000000000</v>
      </c>
      <c r="C4">
        <v>0</v>
      </c>
      <c r="D4">
        <v>5000000</v>
      </c>
      <c r="E4">
        <f>10^10</f>
        <v>10000000000</v>
      </c>
    </row>
    <row r="5" spans="1:5" x14ac:dyDescent="0.35">
      <c r="A5" s="1" t="s">
        <v>11</v>
      </c>
      <c r="B5">
        <f t="shared" ref="B5:B14" si="0">10^10</f>
        <v>10000000000</v>
      </c>
      <c r="C5">
        <v>0</v>
      </c>
      <c r="D5">
        <v>5000000</v>
      </c>
      <c r="E5">
        <f t="shared" ref="E5:E14" si="1">10^10</f>
        <v>10000000000</v>
      </c>
    </row>
    <row r="6" spans="1:5" x14ac:dyDescent="0.35">
      <c r="A6" s="1" t="s">
        <v>12</v>
      </c>
      <c r="B6">
        <f t="shared" si="0"/>
        <v>10000000000</v>
      </c>
      <c r="C6">
        <v>0</v>
      </c>
      <c r="D6">
        <v>5000000</v>
      </c>
      <c r="E6">
        <f t="shared" si="1"/>
        <v>10000000000</v>
      </c>
    </row>
    <row r="7" spans="1:5" x14ac:dyDescent="0.35">
      <c r="A7" s="1" t="s">
        <v>13</v>
      </c>
      <c r="B7">
        <f t="shared" si="0"/>
        <v>10000000000</v>
      </c>
      <c r="C7">
        <v>0</v>
      </c>
      <c r="D7">
        <v>5000000</v>
      </c>
      <c r="E7">
        <f t="shared" si="1"/>
        <v>10000000000</v>
      </c>
    </row>
    <row r="8" spans="1:5" x14ac:dyDescent="0.35">
      <c r="A8" s="1" t="s">
        <v>14</v>
      </c>
      <c r="B8">
        <f t="shared" si="0"/>
        <v>10000000000</v>
      </c>
      <c r="C8">
        <v>0</v>
      </c>
      <c r="D8">
        <v>5000000</v>
      </c>
      <c r="E8">
        <f t="shared" si="1"/>
        <v>10000000000</v>
      </c>
    </row>
    <row r="9" spans="1:5" x14ac:dyDescent="0.35">
      <c r="A9" s="1" t="s">
        <v>15</v>
      </c>
      <c r="B9">
        <f t="shared" si="0"/>
        <v>10000000000</v>
      </c>
      <c r="C9">
        <v>0</v>
      </c>
      <c r="D9">
        <v>5000000</v>
      </c>
      <c r="E9">
        <f t="shared" si="1"/>
        <v>10000000000</v>
      </c>
    </row>
    <row r="10" spans="1:5" x14ac:dyDescent="0.35">
      <c r="A10" s="1" t="s">
        <v>16</v>
      </c>
      <c r="B10">
        <f t="shared" si="0"/>
        <v>10000000000</v>
      </c>
      <c r="C10">
        <v>0</v>
      </c>
      <c r="D10">
        <v>5000000</v>
      </c>
      <c r="E10">
        <f t="shared" si="1"/>
        <v>10000000000</v>
      </c>
    </row>
    <row r="11" spans="1:5" x14ac:dyDescent="0.35">
      <c r="A11" s="1" t="s">
        <v>17</v>
      </c>
      <c r="B11">
        <f t="shared" si="0"/>
        <v>10000000000</v>
      </c>
      <c r="C11">
        <v>0</v>
      </c>
      <c r="D11">
        <v>5000000</v>
      </c>
      <c r="E11">
        <f t="shared" si="1"/>
        <v>10000000000</v>
      </c>
    </row>
    <row r="12" spans="1:5" x14ac:dyDescent="0.35">
      <c r="A12" s="1" t="s">
        <v>18</v>
      </c>
      <c r="B12">
        <f t="shared" si="0"/>
        <v>10000000000</v>
      </c>
      <c r="C12">
        <v>0</v>
      </c>
      <c r="D12">
        <v>5000000</v>
      </c>
      <c r="E12">
        <f t="shared" si="1"/>
        <v>10000000000</v>
      </c>
    </row>
    <row r="13" spans="1:5" x14ac:dyDescent="0.35">
      <c r="A13" s="1" t="s">
        <v>19</v>
      </c>
      <c r="B13">
        <f t="shared" si="0"/>
        <v>10000000000</v>
      </c>
      <c r="C13">
        <v>0</v>
      </c>
      <c r="D13">
        <v>5000000</v>
      </c>
      <c r="E13">
        <f t="shared" si="1"/>
        <v>10000000000</v>
      </c>
    </row>
    <row r="14" spans="1:5" x14ac:dyDescent="0.35">
      <c r="A14" s="1" t="s">
        <v>20</v>
      </c>
      <c r="B14">
        <f t="shared" si="0"/>
        <v>10000000000</v>
      </c>
      <c r="C14">
        <v>0</v>
      </c>
      <c r="D14">
        <v>5000000</v>
      </c>
      <c r="E14">
        <f t="shared" si="1"/>
        <v>10000000000</v>
      </c>
    </row>
  </sheetData>
  <mergeCells count="1">
    <mergeCell ref="B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topLeftCell="A2" zoomScale="160" zoomScaleNormal="160" workbookViewId="0">
      <selection activeCell="G10" sqref="G10"/>
    </sheetView>
  </sheetViews>
  <sheetFormatPr defaultRowHeight="14.5" x14ac:dyDescent="0.35"/>
  <cols>
    <col min="4" max="4" width="12" bestFit="1" customWidth="1"/>
  </cols>
  <sheetData>
    <row r="1" spans="1:5" x14ac:dyDescent="0.35">
      <c r="A1" s="1" t="s">
        <v>21</v>
      </c>
      <c r="B1" s="2" t="s">
        <v>22</v>
      </c>
      <c r="C1" s="2"/>
      <c r="D1" s="2"/>
      <c r="E1" s="2"/>
    </row>
    <row r="2" spans="1:5" x14ac:dyDescent="0.35">
      <c r="A2" s="1" t="s">
        <v>0</v>
      </c>
      <c r="B2" s="2" t="s">
        <v>1</v>
      </c>
      <c r="C2" s="2"/>
      <c r="D2" s="1" t="s">
        <v>2</v>
      </c>
      <c r="E2" s="1" t="s">
        <v>3</v>
      </c>
    </row>
    <row r="3" spans="1:5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5">
      <c r="A4" s="1" t="s">
        <v>9</v>
      </c>
    </row>
    <row r="5" spans="1:5" x14ac:dyDescent="0.35">
      <c r="A5" s="1" t="s">
        <v>10</v>
      </c>
      <c r="B5">
        <f>280/10^6</f>
        <v>2.7999999999999998E-4</v>
      </c>
      <c r="C5">
        <v>0</v>
      </c>
      <c r="D5">
        <v>0</v>
      </c>
      <c r="E5">
        <v>0</v>
      </c>
    </row>
    <row r="6" spans="1:5" x14ac:dyDescent="0.35">
      <c r="A6" s="1" t="s">
        <v>11</v>
      </c>
      <c r="B6">
        <f t="shared" ref="B6:B15" si="0">280/10^6</f>
        <v>2.7999999999999998E-4</v>
      </c>
      <c r="C6">
        <v>0</v>
      </c>
      <c r="D6">
        <v>0</v>
      </c>
      <c r="E6">
        <v>0</v>
      </c>
    </row>
    <row r="7" spans="1:5" x14ac:dyDescent="0.35">
      <c r="A7" s="1" t="s">
        <v>12</v>
      </c>
      <c r="B7">
        <f t="shared" si="0"/>
        <v>2.7999999999999998E-4</v>
      </c>
      <c r="C7">
        <v>0</v>
      </c>
      <c r="D7">
        <v>0</v>
      </c>
      <c r="E7">
        <v>0</v>
      </c>
    </row>
    <row r="8" spans="1:5" x14ac:dyDescent="0.35">
      <c r="A8" s="1" t="s">
        <v>13</v>
      </c>
      <c r="B8">
        <f t="shared" si="0"/>
        <v>2.7999999999999998E-4</v>
      </c>
      <c r="C8">
        <v>0</v>
      </c>
      <c r="D8">
        <v>0</v>
      </c>
      <c r="E8">
        <v>0</v>
      </c>
    </row>
    <row r="9" spans="1:5" x14ac:dyDescent="0.35">
      <c r="A9" s="1" t="s">
        <v>14</v>
      </c>
      <c r="B9">
        <f t="shared" si="0"/>
        <v>2.7999999999999998E-4</v>
      </c>
      <c r="C9">
        <v>0</v>
      </c>
      <c r="D9">
        <v>0</v>
      </c>
      <c r="E9">
        <v>0</v>
      </c>
    </row>
    <row r="10" spans="1:5" x14ac:dyDescent="0.35">
      <c r="A10" s="1" t="s">
        <v>15</v>
      </c>
      <c r="B10">
        <f t="shared" si="0"/>
        <v>2.7999999999999998E-4</v>
      </c>
      <c r="C10">
        <v>0</v>
      </c>
      <c r="D10">
        <v>0</v>
      </c>
      <c r="E10">
        <v>0</v>
      </c>
    </row>
    <row r="11" spans="1:5" x14ac:dyDescent="0.35">
      <c r="A11" s="1" t="s">
        <v>16</v>
      </c>
      <c r="B11">
        <f t="shared" si="0"/>
        <v>2.7999999999999998E-4</v>
      </c>
      <c r="C11">
        <v>0</v>
      </c>
      <c r="D11">
        <v>0</v>
      </c>
      <c r="E11">
        <v>0</v>
      </c>
    </row>
    <row r="12" spans="1:5" x14ac:dyDescent="0.35">
      <c r="A12" s="1" t="s">
        <v>17</v>
      </c>
      <c r="B12">
        <f t="shared" si="0"/>
        <v>2.7999999999999998E-4</v>
      </c>
      <c r="C12">
        <v>0</v>
      </c>
      <c r="D12">
        <v>0</v>
      </c>
      <c r="E12">
        <v>0</v>
      </c>
    </row>
    <row r="13" spans="1:5" x14ac:dyDescent="0.35">
      <c r="A13" s="1" t="s">
        <v>18</v>
      </c>
      <c r="B13">
        <f t="shared" si="0"/>
        <v>2.7999999999999998E-4</v>
      </c>
      <c r="C13">
        <v>0</v>
      </c>
      <c r="D13">
        <v>0</v>
      </c>
      <c r="E13">
        <v>0</v>
      </c>
    </row>
    <row r="14" spans="1:5" x14ac:dyDescent="0.35">
      <c r="A14" s="1" t="s">
        <v>19</v>
      </c>
      <c r="B14">
        <f t="shared" si="0"/>
        <v>2.7999999999999998E-4</v>
      </c>
      <c r="C14">
        <v>0</v>
      </c>
      <c r="D14">
        <v>0</v>
      </c>
      <c r="E14">
        <v>0</v>
      </c>
    </row>
    <row r="15" spans="1:5" x14ac:dyDescent="0.35">
      <c r="A15" s="1" t="s">
        <v>20</v>
      </c>
      <c r="B15">
        <f t="shared" si="0"/>
        <v>2.7999999999999998E-4</v>
      </c>
      <c r="C15">
        <v>0</v>
      </c>
      <c r="D15">
        <v>0</v>
      </c>
      <c r="E15">
        <v>0</v>
      </c>
    </row>
  </sheetData>
  <mergeCells count="2">
    <mergeCell ref="B2:C2"/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  <row r="14" spans="1:5" x14ac:dyDescent="0.35">
      <c r="A14" s="1" t="s">
        <v>20</v>
      </c>
      <c r="B14">
        <v>0</v>
      </c>
      <c r="C14">
        <v>0</v>
      </c>
      <c r="D14">
        <v>0</v>
      </c>
      <c r="E14">
        <v>0</v>
      </c>
    </row>
  </sheetData>
  <mergeCells count="1">
    <mergeCell ref="B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/>
  </sheetViews>
  <sheetFormatPr defaultRowHeight="14.5" x14ac:dyDescent="0.35"/>
  <sheetData>
    <row r="1" spans="1:5" x14ac:dyDescent="0.35">
      <c r="A1" s="1" t="s">
        <v>21</v>
      </c>
      <c r="B1" s="2" t="s">
        <v>22</v>
      </c>
      <c r="C1" s="2"/>
      <c r="D1" s="2"/>
      <c r="E1" s="2"/>
    </row>
    <row r="2" spans="1:5" x14ac:dyDescent="0.35">
      <c r="A2" s="1" t="s">
        <v>0</v>
      </c>
      <c r="B2" s="2" t="s">
        <v>1</v>
      </c>
      <c r="C2" s="2"/>
      <c r="D2" s="1" t="s">
        <v>2</v>
      </c>
      <c r="E2" s="1" t="s">
        <v>3</v>
      </c>
    </row>
    <row r="3" spans="1:5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5">
      <c r="A4" s="1" t="s">
        <v>9</v>
      </c>
    </row>
    <row r="5" spans="1:5" x14ac:dyDescent="0.35">
      <c r="A5" s="1" t="s">
        <v>10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11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12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13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14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15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16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17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18</v>
      </c>
      <c r="B13">
        <v>0</v>
      </c>
      <c r="C13">
        <v>0</v>
      </c>
      <c r="D13">
        <v>0</v>
      </c>
      <c r="E13">
        <v>0</v>
      </c>
    </row>
    <row r="14" spans="1:5" x14ac:dyDescent="0.35">
      <c r="A14" s="1" t="s">
        <v>19</v>
      </c>
      <c r="B14">
        <v>0</v>
      </c>
      <c r="C14">
        <v>0</v>
      </c>
      <c r="D14">
        <v>0</v>
      </c>
      <c r="E14">
        <v>0</v>
      </c>
    </row>
    <row r="15" spans="1:5" x14ac:dyDescent="0.35">
      <c r="A15" s="1" t="s">
        <v>20</v>
      </c>
      <c r="B15">
        <v>0</v>
      </c>
      <c r="C15">
        <v>0</v>
      </c>
      <c r="D15">
        <v>0</v>
      </c>
      <c r="E15">
        <v>0</v>
      </c>
    </row>
  </sheetData>
  <mergeCells count="2">
    <mergeCell ref="B2:C2"/>
    <mergeCell ref="B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"/>
  <sheetViews>
    <sheetView workbookViewId="0"/>
  </sheetViews>
  <sheetFormatPr defaultRowHeight="14.5" x14ac:dyDescent="0.35"/>
  <sheetData>
    <row r="1" spans="1:4" x14ac:dyDescent="0.35">
      <c r="A1" s="1" t="s">
        <v>21</v>
      </c>
      <c r="B1" s="2" t="s">
        <v>22</v>
      </c>
      <c r="C1" s="2"/>
      <c r="D1" s="2"/>
    </row>
    <row r="2" spans="1:4" x14ac:dyDescent="0.35">
      <c r="A2" s="1" t="s">
        <v>0</v>
      </c>
      <c r="B2" s="2" t="s">
        <v>1</v>
      </c>
      <c r="C2" s="2"/>
      <c r="D2" s="1" t="s">
        <v>2</v>
      </c>
    </row>
    <row r="3" spans="1:4" x14ac:dyDescent="0.35">
      <c r="A3" s="1" t="s">
        <v>4</v>
      </c>
      <c r="B3" s="1" t="s">
        <v>5</v>
      </c>
      <c r="C3" s="1" t="s">
        <v>6</v>
      </c>
      <c r="D3" s="1" t="s">
        <v>7</v>
      </c>
    </row>
    <row r="4" spans="1:4" x14ac:dyDescent="0.35">
      <c r="A4" s="1" t="s">
        <v>9</v>
      </c>
    </row>
    <row r="5" spans="1:4" x14ac:dyDescent="0.35">
      <c r="A5" s="1" t="s">
        <v>10</v>
      </c>
      <c r="B5">
        <v>0</v>
      </c>
      <c r="C5">
        <v>0</v>
      </c>
      <c r="D5">
        <v>0</v>
      </c>
    </row>
    <row r="6" spans="1:4" x14ac:dyDescent="0.35">
      <c r="A6" s="1" t="s">
        <v>11</v>
      </c>
      <c r="B6">
        <v>0</v>
      </c>
      <c r="C6">
        <v>0</v>
      </c>
      <c r="D6">
        <v>0</v>
      </c>
    </row>
    <row r="7" spans="1:4" x14ac:dyDescent="0.35">
      <c r="A7" s="1" t="s">
        <v>12</v>
      </c>
      <c r="B7">
        <v>0</v>
      </c>
      <c r="C7">
        <v>0</v>
      </c>
      <c r="D7">
        <v>0</v>
      </c>
    </row>
    <row r="8" spans="1:4" x14ac:dyDescent="0.35">
      <c r="A8" s="1" t="s">
        <v>13</v>
      </c>
      <c r="B8">
        <v>0</v>
      </c>
      <c r="C8">
        <v>0</v>
      </c>
      <c r="D8">
        <v>0</v>
      </c>
    </row>
    <row r="9" spans="1:4" x14ac:dyDescent="0.35">
      <c r="A9" s="1" t="s">
        <v>14</v>
      </c>
      <c r="B9">
        <v>0</v>
      </c>
      <c r="C9">
        <v>0</v>
      </c>
      <c r="D9">
        <v>0</v>
      </c>
    </row>
    <row r="10" spans="1:4" x14ac:dyDescent="0.35">
      <c r="A10" s="1" t="s">
        <v>15</v>
      </c>
      <c r="B10">
        <v>0</v>
      </c>
      <c r="C10">
        <v>0</v>
      </c>
      <c r="D10">
        <v>0</v>
      </c>
    </row>
    <row r="11" spans="1:4" x14ac:dyDescent="0.35">
      <c r="A11" s="1" t="s">
        <v>16</v>
      </c>
      <c r="B11">
        <v>0</v>
      </c>
      <c r="C11">
        <v>0</v>
      </c>
      <c r="D11">
        <v>0</v>
      </c>
    </row>
    <row r="12" spans="1:4" x14ac:dyDescent="0.35">
      <c r="A12" s="1" t="s">
        <v>17</v>
      </c>
      <c r="B12">
        <v>0</v>
      </c>
      <c r="C12">
        <v>0</v>
      </c>
      <c r="D12">
        <v>0</v>
      </c>
    </row>
    <row r="13" spans="1:4" x14ac:dyDescent="0.35">
      <c r="A13" s="1" t="s">
        <v>18</v>
      </c>
      <c r="B13">
        <v>0</v>
      </c>
      <c r="C13">
        <v>0</v>
      </c>
      <c r="D13">
        <v>0</v>
      </c>
    </row>
    <row r="14" spans="1:4" x14ac:dyDescent="0.35">
      <c r="A14" s="1" t="s">
        <v>19</v>
      </c>
      <c r="B14">
        <v>0</v>
      </c>
      <c r="C14">
        <v>0</v>
      </c>
      <c r="D14">
        <v>0</v>
      </c>
    </row>
    <row r="15" spans="1:4" x14ac:dyDescent="0.35">
      <c r="A15" s="1" t="s">
        <v>20</v>
      </c>
      <c r="B15">
        <v>0</v>
      </c>
      <c r="C15">
        <v>0</v>
      </c>
      <c r="D15">
        <v>0</v>
      </c>
    </row>
  </sheetData>
  <mergeCells count="2">
    <mergeCell ref="B1:D1"/>
    <mergeCell ref="B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23</v>
      </c>
      <c r="B1" s="2" t="s">
        <v>24</v>
      </c>
      <c r="C1" s="2"/>
      <c r="D1" s="2"/>
      <c r="E1" s="2"/>
      <c r="F1" s="2" t="s">
        <v>25</v>
      </c>
      <c r="G1" s="2"/>
      <c r="H1" s="2"/>
      <c r="I1" s="2"/>
    </row>
    <row r="2" spans="1:9" x14ac:dyDescent="0.35">
      <c r="A2" s="1" t="s">
        <v>0</v>
      </c>
      <c r="B2" s="2" t="s">
        <v>1</v>
      </c>
      <c r="C2" s="2"/>
      <c r="D2" s="1" t="s">
        <v>2</v>
      </c>
      <c r="E2" s="1" t="s">
        <v>3</v>
      </c>
      <c r="F2" s="2" t="s">
        <v>1</v>
      </c>
      <c r="G2" s="2"/>
      <c r="H2" s="1" t="s">
        <v>2</v>
      </c>
      <c r="I2" s="1" t="s">
        <v>3</v>
      </c>
    </row>
    <row r="3" spans="1:9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35">
      <c r="A4" s="1" t="s">
        <v>9</v>
      </c>
    </row>
    <row r="5" spans="1:9" x14ac:dyDescent="0.35">
      <c r="A5" s="1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s="1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s="1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s="1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s="1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s="1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s="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s="1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s="1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</sheetData>
  <mergeCells count="4">
    <mergeCell ref="B2:C2"/>
    <mergeCell ref="B1:E1"/>
    <mergeCell ref="F2:G2"/>
    <mergeCell ref="F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zoomScale="175" zoomScaleNormal="175" workbookViewId="0">
      <selection activeCell="B5" sqref="B5"/>
    </sheetView>
  </sheetViews>
  <sheetFormatPr defaultRowHeight="14.5" x14ac:dyDescent="0.35"/>
  <cols>
    <col min="1" max="1" width="26.54296875" bestFit="1" customWidth="1"/>
    <col min="2" max="2" width="12.1796875" bestFit="1" customWidth="1"/>
  </cols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26</v>
      </c>
    </row>
    <row r="4" spans="1:5" x14ac:dyDescent="0.35">
      <c r="A4" s="1" t="s">
        <v>27</v>
      </c>
      <c r="B4">
        <f>10^10</f>
        <v>10000000000</v>
      </c>
      <c r="C4">
        <v>8760</v>
      </c>
      <c r="D4">
        <v>8760</v>
      </c>
      <c r="E4">
        <v>8760</v>
      </c>
    </row>
  </sheetData>
  <mergeCells count="1">
    <mergeCell ref="B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4"/>
  <sheetViews>
    <sheetView zoomScale="160" zoomScaleNormal="160" workbookViewId="0">
      <selection activeCell="D4" sqref="D4:D14"/>
    </sheetView>
  </sheetViews>
  <sheetFormatPr defaultRowHeight="14.5" x14ac:dyDescent="0.35"/>
  <cols>
    <col min="2" max="2" width="15.36328125" bestFit="1" customWidth="1"/>
    <col min="3" max="3" width="7" bestFit="1" customWidth="1"/>
    <col min="4" max="4" width="12" bestFit="1" customWidth="1"/>
    <col min="5" max="5" width="15" bestFit="1" customWidth="1"/>
  </cols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1100</v>
      </c>
      <c r="D4">
        <v>800</v>
      </c>
      <c r="E4">
        <v>0</v>
      </c>
    </row>
    <row r="5" spans="1:5" x14ac:dyDescent="0.35">
      <c r="A5" s="1" t="s">
        <v>11</v>
      </c>
      <c r="B5">
        <v>0</v>
      </c>
      <c r="C5">
        <v>1100</v>
      </c>
      <c r="D5">
        <v>800</v>
      </c>
      <c r="E5">
        <v>0</v>
      </c>
    </row>
    <row r="6" spans="1:5" x14ac:dyDescent="0.35">
      <c r="A6" s="1" t="s">
        <v>12</v>
      </c>
      <c r="B6">
        <v>0</v>
      </c>
      <c r="C6">
        <v>1100</v>
      </c>
      <c r="D6">
        <v>800</v>
      </c>
      <c r="E6">
        <v>0</v>
      </c>
    </row>
    <row r="7" spans="1:5" x14ac:dyDescent="0.35">
      <c r="A7" s="1" t="s">
        <v>13</v>
      </c>
      <c r="B7">
        <v>0</v>
      </c>
      <c r="C7">
        <v>1100</v>
      </c>
      <c r="D7">
        <v>800</v>
      </c>
      <c r="E7">
        <v>0</v>
      </c>
    </row>
    <row r="8" spans="1:5" x14ac:dyDescent="0.35">
      <c r="A8" s="1" t="s">
        <v>14</v>
      </c>
      <c r="B8">
        <v>0</v>
      </c>
      <c r="C8">
        <v>1100</v>
      </c>
      <c r="D8">
        <v>800</v>
      </c>
      <c r="E8">
        <v>0</v>
      </c>
    </row>
    <row r="9" spans="1:5" x14ac:dyDescent="0.35">
      <c r="A9" s="1" t="s">
        <v>15</v>
      </c>
      <c r="B9">
        <v>0</v>
      </c>
      <c r="C9">
        <v>1100</v>
      </c>
      <c r="D9">
        <v>800</v>
      </c>
      <c r="E9">
        <v>0</v>
      </c>
    </row>
    <row r="10" spans="1:5" x14ac:dyDescent="0.35">
      <c r="A10" s="1" t="s">
        <v>16</v>
      </c>
      <c r="B10">
        <v>0</v>
      </c>
      <c r="C10">
        <v>1100</v>
      </c>
      <c r="D10">
        <v>800</v>
      </c>
      <c r="E10">
        <v>0</v>
      </c>
    </row>
    <row r="11" spans="1:5" x14ac:dyDescent="0.35">
      <c r="A11" s="1" t="s">
        <v>17</v>
      </c>
      <c r="B11">
        <v>0</v>
      </c>
      <c r="C11">
        <v>1100</v>
      </c>
      <c r="D11">
        <v>800</v>
      </c>
      <c r="E11">
        <v>0</v>
      </c>
    </row>
    <row r="12" spans="1:5" x14ac:dyDescent="0.35">
      <c r="A12" s="1" t="s">
        <v>18</v>
      </c>
      <c r="B12">
        <v>0</v>
      </c>
      <c r="C12">
        <v>1100</v>
      </c>
      <c r="D12">
        <v>800</v>
      </c>
      <c r="E12">
        <v>0</v>
      </c>
    </row>
    <row r="13" spans="1:5" x14ac:dyDescent="0.35">
      <c r="A13" s="1" t="s">
        <v>19</v>
      </c>
      <c r="B13">
        <v>0</v>
      </c>
      <c r="C13">
        <v>1100</v>
      </c>
      <c r="D13">
        <v>800</v>
      </c>
      <c r="E13">
        <v>0</v>
      </c>
    </row>
    <row r="14" spans="1:5" x14ac:dyDescent="0.35">
      <c r="A14" s="1" t="s">
        <v>20</v>
      </c>
      <c r="B14">
        <v>0</v>
      </c>
      <c r="C14">
        <v>1100</v>
      </c>
      <c r="D14">
        <v>800</v>
      </c>
      <c r="E14">
        <v>0</v>
      </c>
    </row>
  </sheetData>
  <mergeCells count="1">
    <mergeCell ref="B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5"/>
  <sheetViews>
    <sheetView workbookViewId="0"/>
  </sheetViews>
  <sheetFormatPr defaultRowHeight="14.5" x14ac:dyDescent="0.35"/>
  <sheetData>
    <row r="1" spans="1:9" x14ac:dyDescent="0.35">
      <c r="A1" s="1" t="s">
        <v>23</v>
      </c>
      <c r="B1" s="2" t="s">
        <v>24</v>
      </c>
      <c r="C1" s="2"/>
      <c r="D1" s="2"/>
      <c r="E1" s="2"/>
      <c r="F1" s="2" t="s">
        <v>25</v>
      </c>
      <c r="G1" s="2"/>
      <c r="H1" s="2"/>
      <c r="I1" s="2"/>
    </row>
    <row r="2" spans="1:9" x14ac:dyDescent="0.35">
      <c r="A2" s="1" t="s">
        <v>0</v>
      </c>
      <c r="B2" s="2" t="s">
        <v>1</v>
      </c>
      <c r="C2" s="2"/>
      <c r="D2" s="1" t="s">
        <v>2</v>
      </c>
      <c r="E2" s="1" t="s">
        <v>3</v>
      </c>
      <c r="F2" s="2" t="s">
        <v>1</v>
      </c>
      <c r="G2" s="2"/>
      <c r="H2" s="1" t="s">
        <v>2</v>
      </c>
      <c r="I2" s="1" t="s">
        <v>3</v>
      </c>
    </row>
    <row r="3" spans="1:9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35">
      <c r="A4" s="1" t="s">
        <v>9</v>
      </c>
    </row>
    <row r="5" spans="1:9" x14ac:dyDescent="0.35">
      <c r="A5" s="1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s="1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s="1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s="1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s="1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s="1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s="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s="1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s="1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</sheetData>
  <mergeCells count="4">
    <mergeCell ref="B2:C2"/>
    <mergeCell ref="B1:E1"/>
    <mergeCell ref="F2:G2"/>
    <mergeCell ref="F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  <row r="14" spans="1:5" x14ac:dyDescent="0.35">
      <c r="A14" s="1" t="s">
        <v>20</v>
      </c>
      <c r="B14">
        <v>0</v>
      </c>
      <c r="C14">
        <v>0</v>
      </c>
      <c r="D14">
        <v>0</v>
      </c>
      <c r="E14">
        <v>0</v>
      </c>
    </row>
  </sheetData>
  <mergeCells count="1">
    <mergeCell ref="B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2"/>
  <sheetViews>
    <sheetView tabSelected="1" workbookViewId="0">
      <selection activeCell="B2" sqref="B2:B12"/>
    </sheetView>
  </sheetViews>
  <sheetFormatPr defaultRowHeight="14.5" x14ac:dyDescent="0.35"/>
  <sheetData>
    <row r="1" spans="1:2" x14ac:dyDescent="0.35">
      <c r="A1" s="1" t="s">
        <v>9</v>
      </c>
      <c r="B1" s="1" t="s">
        <v>28</v>
      </c>
    </row>
    <row r="2" spans="1:2" x14ac:dyDescent="0.35">
      <c r="A2" s="1" t="s">
        <v>10</v>
      </c>
      <c r="B2">
        <v>0.1</v>
      </c>
    </row>
    <row r="3" spans="1:2" x14ac:dyDescent="0.35">
      <c r="A3" s="1" t="s">
        <v>11</v>
      </c>
      <c r="B3">
        <v>0.1</v>
      </c>
    </row>
    <row r="4" spans="1:2" x14ac:dyDescent="0.35">
      <c r="A4" s="1" t="s">
        <v>12</v>
      </c>
      <c r="B4">
        <v>0.1</v>
      </c>
    </row>
    <row r="5" spans="1:2" x14ac:dyDescent="0.35">
      <c r="A5" s="1" t="s">
        <v>13</v>
      </c>
      <c r="B5">
        <v>0.1</v>
      </c>
    </row>
    <row r="6" spans="1:2" x14ac:dyDescent="0.35">
      <c r="A6" s="1" t="s">
        <v>14</v>
      </c>
      <c r="B6">
        <v>0.1</v>
      </c>
    </row>
    <row r="7" spans="1:2" x14ac:dyDescent="0.35">
      <c r="A7" s="1" t="s">
        <v>15</v>
      </c>
      <c r="B7">
        <v>0.1</v>
      </c>
    </row>
    <row r="8" spans="1:2" x14ac:dyDescent="0.35">
      <c r="A8" s="1" t="s">
        <v>16</v>
      </c>
      <c r="B8">
        <v>0.1</v>
      </c>
    </row>
    <row r="9" spans="1:2" x14ac:dyDescent="0.35">
      <c r="A9" s="1" t="s">
        <v>17</v>
      </c>
      <c r="B9">
        <v>0.1</v>
      </c>
    </row>
    <row r="10" spans="1:2" x14ac:dyDescent="0.35">
      <c r="A10" s="1" t="s">
        <v>18</v>
      </c>
      <c r="B10">
        <v>0.1</v>
      </c>
    </row>
    <row r="11" spans="1:2" x14ac:dyDescent="0.35">
      <c r="A11" s="1" t="s">
        <v>19</v>
      </c>
      <c r="B11">
        <v>0.1</v>
      </c>
    </row>
    <row r="12" spans="1:2" x14ac:dyDescent="0.35">
      <c r="A12" s="1" t="s">
        <v>20</v>
      </c>
      <c r="B12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26</v>
      </c>
    </row>
    <row r="4" spans="1:5" x14ac:dyDescent="0.35">
      <c r="A4" s="1" t="s">
        <v>29</v>
      </c>
      <c r="B4">
        <v>1</v>
      </c>
      <c r="C4">
        <v>1</v>
      </c>
      <c r="D4">
        <v>1</v>
      </c>
      <c r="E4">
        <v>1</v>
      </c>
    </row>
  </sheetData>
  <mergeCells count="1">
    <mergeCell ref="B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"/>
  <sheetViews>
    <sheetView workbookViewId="0">
      <selection activeCell="F9" sqref="F9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26</v>
      </c>
    </row>
    <row r="4" spans="1:5" x14ac:dyDescent="0.35">
      <c r="A4" s="1" t="s">
        <v>30</v>
      </c>
      <c r="B4">
        <v>20</v>
      </c>
      <c r="C4">
        <v>20</v>
      </c>
      <c r="D4">
        <v>20</v>
      </c>
      <c r="E4">
        <v>20</v>
      </c>
    </row>
  </sheetData>
  <mergeCells count="1">
    <mergeCell ref="B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26</v>
      </c>
    </row>
    <row r="4" spans="1:5" x14ac:dyDescent="0.35">
      <c r="A4" s="1" t="s">
        <v>31</v>
      </c>
      <c r="B4">
        <v>1</v>
      </c>
      <c r="C4">
        <v>1</v>
      </c>
      <c r="D4">
        <v>1</v>
      </c>
      <c r="E4">
        <v>1</v>
      </c>
    </row>
  </sheetData>
  <mergeCells count="1">
    <mergeCell ref="B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26</v>
      </c>
    </row>
    <row r="4" spans="1:5" x14ac:dyDescent="0.35">
      <c r="A4" s="1" t="s">
        <v>32</v>
      </c>
      <c r="B4">
        <v>0.05</v>
      </c>
      <c r="C4">
        <v>0.05</v>
      </c>
      <c r="D4">
        <v>0.05</v>
      </c>
      <c r="E4">
        <v>0.05</v>
      </c>
    </row>
  </sheetData>
  <mergeCells count="1">
    <mergeCell ref="B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33</v>
      </c>
    </row>
    <row r="4" spans="1:5" x14ac:dyDescent="0.35">
      <c r="A4" s="1" t="s">
        <v>34</v>
      </c>
      <c r="B4">
        <v>0</v>
      </c>
      <c r="C4">
        <v>0</v>
      </c>
      <c r="D4">
        <v>0</v>
      </c>
      <c r="E4">
        <v>0</v>
      </c>
    </row>
  </sheetData>
  <mergeCells count="1">
    <mergeCell ref="B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65"/>
  <sheetViews>
    <sheetView topLeftCell="A241" zoomScale="160" zoomScaleNormal="160" workbookViewId="0">
      <selection activeCell="C242" sqref="C242:C265"/>
    </sheetView>
  </sheetViews>
  <sheetFormatPr defaultRowHeight="14.5" x14ac:dyDescent="0.35"/>
  <cols>
    <col min="3" max="3" width="11.81640625" bestFit="1" customWidth="1"/>
    <col min="5" max="5" width="10.81640625" bestFit="1" customWidth="1"/>
  </cols>
  <sheetData>
    <row r="1" spans="1:3" x14ac:dyDescent="0.35">
      <c r="A1" s="1" t="s">
        <v>9</v>
      </c>
      <c r="B1" s="1" t="s">
        <v>35</v>
      </c>
      <c r="C1" s="1" t="s">
        <v>36</v>
      </c>
    </row>
    <row r="2" spans="1:3" x14ac:dyDescent="0.35">
      <c r="A2" s="2" t="s">
        <v>10</v>
      </c>
      <c r="B2" s="1">
        <v>1</v>
      </c>
      <c r="C2">
        <f t="shared" ref="C2:C25" si="0">(7230/24)*1000000</f>
        <v>301250000</v>
      </c>
    </row>
    <row r="3" spans="1:3" x14ac:dyDescent="0.35">
      <c r="A3" s="2"/>
      <c r="B3" s="1">
        <v>2</v>
      </c>
      <c r="C3">
        <f t="shared" si="0"/>
        <v>301250000</v>
      </c>
    </row>
    <row r="4" spans="1:3" x14ac:dyDescent="0.35">
      <c r="A4" s="2"/>
      <c r="B4" s="1">
        <v>3</v>
      </c>
      <c r="C4">
        <f t="shared" si="0"/>
        <v>301250000</v>
      </c>
    </row>
    <row r="5" spans="1:3" x14ac:dyDescent="0.35">
      <c r="A5" s="2"/>
      <c r="B5" s="1">
        <v>4</v>
      </c>
      <c r="C5">
        <f t="shared" si="0"/>
        <v>301250000</v>
      </c>
    </row>
    <row r="6" spans="1:3" x14ac:dyDescent="0.35">
      <c r="A6" s="2"/>
      <c r="B6" s="1">
        <v>5</v>
      </c>
      <c r="C6">
        <f t="shared" si="0"/>
        <v>301250000</v>
      </c>
    </row>
    <row r="7" spans="1:3" x14ac:dyDescent="0.35">
      <c r="A7" s="2"/>
      <c r="B7" s="1">
        <v>6</v>
      </c>
      <c r="C7">
        <f t="shared" si="0"/>
        <v>301250000</v>
      </c>
    </row>
    <row r="8" spans="1:3" x14ac:dyDescent="0.35">
      <c r="A8" s="2"/>
      <c r="B8" s="1">
        <v>7</v>
      </c>
      <c r="C8">
        <f t="shared" si="0"/>
        <v>301250000</v>
      </c>
    </row>
    <row r="9" spans="1:3" x14ac:dyDescent="0.35">
      <c r="A9" s="2"/>
      <c r="B9" s="1">
        <v>8</v>
      </c>
      <c r="C9">
        <f t="shared" si="0"/>
        <v>301250000</v>
      </c>
    </row>
    <row r="10" spans="1:3" x14ac:dyDescent="0.35">
      <c r="A10" s="2"/>
      <c r="B10" s="1">
        <v>9</v>
      </c>
      <c r="C10">
        <f t="shared" si="0"/>
        <v>301250000</v>
      </c>
    </row>
    <row r="11" spans="1:3" x14ac:dyDescent="0.35">
      <c r="A11" s="2"/>
      <c r="B11" s="1">
        <v>10</v>
      </c>
      <c r="C11">
        <f t="shared" si="0"/>
        <v>301250000</v>
      </c>
    </row>
    <row r="12" spans="1:3" x14ac:dyDescent="0.35">
      <c r="A12" s="2"/>
      <c r="B12" s="1">
        <v>11</v>
      </c>
      <c r="C12">
        <f t="shared" si="0"/>
        <v>301250000</v>
      </c>
    </row>
    <row r="13" spans="1:3" x14ac:dyDescent="0.35">
      <c r="A13" s="2"/>
      <c r="B13" s="1">
        <v>12</v>
      </c>
      <c r="C13">
        <f t="shared" si="0"/>
        <v>301250000</v>
      </c>
    </row>
    <row r="14" spans="1:3" x14ac:dyDescent="0.35">
      <c r="A14" s="2"/>
      <c r="B14" s="1">
        <v>13</v>
      </c>
      <c r="C14">
        <f t="shared" si="0"/>
        <v>301250000</v>
      </c>
    </row>
    <row r="15" spans="1:3" x14ac:dyDescent="0.35">
      <c r="A15" s="2"/>
      <c r="B15" s="1">
        <v>14</v>
      </c>
      <c r="C15">
        <f t="shared" si="0"/>
        <v>301250000</v>
      </c>
    </row>
    <row r="16" spans="1:3" x14ac:dyDescent="0.35">
      <c r="A16" s="2"/>
      <c r="B16" s="1">
        <v>15</v>
      </c>
      <c r="C16">
        <f t="shared" si="0"/>
        <v>301250000</v>
      </c>
    </row>
    <row r="17" spans="1:3" x14ac:dyDescent="0.35">
      <c r="A17" s="2"/>
      <c r="B17" s="1">
        <v>16</v>
      </c>
      <c r="C17">
        <f t="shared" si="0"/>
        <v>301250000</v>
      </c>
    </row>
    <row r="18" spans="1:3" x14ac:dyDescent="0.35">
      <c r="A18" s="2"/>
      <c r="B18" s="1">
        <v>17</v>
      </c>
      <c r="C18">
        <f t="shared" si="0"/>
        <v>301250000</v>
      </c>
    </row>
    <row r="19" spans="1:3" x14ac:dyDescent="0.35">
      <c r="A19" s="2"/>
      <c r="B19" s="1">
        <v>18</v>
      </c>
      <c r="C19">
        <f t="shared" si="0"/>
        <v>301250000</v>
      </c>
    </row>
    <row r="20" spans="1:3" x14ac:dyDescent="0.35">
      <c r="A20" s="2"/>
      <c r="B20" s="1">
        <v>19</v>
      </c>
      <c r="C20">
        <f t="shared" si="0"/>
        <v>301250000</v>
      </c>
    </row>
    <row r="21" spans="1:3" x14ac:dyDescent="0.35">
      <c r="A21" s="2"/>
      <c r="B21" s="1">
        <v>20</v>
      </c>
      <c r="C21">
        <f t="shared" si="0"/>
        <v>301250000</v>
      </c>
    </row>
    <row r="22" spans="1:3" x14ac:dyDescent="0.35">
      <c r="A22" s="2"/>
      <c r="B22" s="1">
        <v>21</v>
      </c>
      <c r="C22">
        <f t="shared" si="0"/>
        <v>301250000</v>
      </c>
    </row>
    <row r="23" spans="1:3" x14ac:dyDescent="0.35">
      <c r="A23" s="2"/>
      <c r="B23" s="1">
        <v>22</v>
      </c>
      <c r="C23">
        <f t="shared" si="0"/>
        <v>301250000</v>
      </c>
    </row>
    <row r="24" spans="1:3" x14ac:dyDescent="0.35">
      <c r="A24" s="2"/>
      <c r="B24" s="1">
        <v>23</v>
      </c>
      <c r="C24">
        <f t="shared" si="0"/>
        <v>301250000</v>
      </c>
    </row>
    <row r="25" spans="1:3" x14ac:dyDescent="0.35">
      <c r="A25" s="2"/>
      <c r="B25" s="1">
        <v>24</v>
      </c>
      <c r="C25">
        <f t="shared" si="0"/>
        <v>301250000</v>
      </c>
    </row>
    <row r="26" spans="1:3" x14ac:dyDescent="0.35">
      <c r="A26" s="2" t="s">
        <v>11</v>
      </c>
      <c r="B26" s="1">
        <v>1</v>
      </c>
      <c r="C26">
        <f t="shared" ref="C26:C49" si="1">(8000/24)*1000000</f>
        <v>333333333.33333331</v>
      </c>
    </row>
    <row r="27" spans="1:3" x14ac:dyDescent="0.35">
      <c r="A27" s="2"/>
      <c r="B27" s="1">
        <v>2</v>
      </c>
      <c r="C27">
        <f t="shared" si="1"/>
        <v>333333333.33333331</v>
      </c>
    </row>
    <row r="28" spans="1:3" x14ac:dyDescent="0.35">
      <c r="A28" s="2"/>
      <c r="B28" s="1">
        <v>3</v>
      </c>
      <c r="C28">
        <f t="shared" si="1"/>
        <v>333333333.33333331</v>
      </c>
    </row>
    <row r="29" spans="1:3" x14ac:dyDescent="0.35">
      <c r="A29" s="2"/>
      <c r="B29" s="1">
        <v>4</v>
      </c>
      <c r="C29">
        <f t="shared" si="1"/>
        <v>333333333.33333331</v>
      </c>
    </row>
    <row r="30" spans="1:3" x14ac:dyDescent="0.35">
      <c r="A30" s="2"/>
      <c r="B30" s="1">
        <v>5</v>
      </c>
      <c r="C30">
        <f t="shared" si="1"/>
        <v>333333333.33333331</v>
      </c>
    </row>
    <row r="31" spans="1:3" x14ac:dyDescent="0.35">
      <c r="A31" s="2"/>
      <c r="B31" s="1">
        <v>6</v>
      </c>
      <c r="C31">
        <f t="shared" si="1"/>
        <v>333333333.33333331</v>
      </c>
    </row>
    <row r="32" spans="1:3" x14ac:dyDescent="0.35">
      <c r="A32" s="2"/>
      <c r="B32" s="1">
        <v>7</v>
      </c>
      <c r="C32">
        <f t="shared" si="1"/>
        <v>333333333.33333331</v>
      </c>
    </row>
    <row r="33" spans="1:3" x14ac:dyDescent="0.35">
      <c r="A33" s="2"/>
      <c r="B33" s="1">
        <v>8</v>
      </c>
      <c r="C33">
        <f t="shared" si="1"/>
        <v>333333333.33333331</v>
      </c>
    </row>
    <row r="34" spans="1:3" x14ac:dyDescent="0.35">
      <c r="A34" s="2"/>
      <c r="B34" s="1">
        <v>9</v>
      </c>
      <c r="C34">
        <f t="shared" si="1"/>
        <v>333333333.33333331</v>
      </c>
    </row>
    <row r="35" spans="1:3" x14ac:dyDescent="0.35">
      <c r="A35" s="2"/>
      <c r="B35" s="1">
        <v>10</v>
      </c>
      <c r="C35">
        <f t="shared" si="1"/>
        <v>333333333.33333331</v>
      </c>
    </row>
    <row r="36" spans="1:3" x14ac:dyDescent="0.35">
      <c r="A36" s="2"/>
      <c r="B36" s="1">
        <v>11</v>
      </c>
      <c r="C36">
        <f t="shared" si="1"/>
        <v>333333333.33333331</v>
      </c>
    </row>
    <row r="37" spans="1:3" x14ac:dyDescent="0.35">
      <c r="A37" s="2"/>
      <c r="B37" s="1">
        <v>12</v>
      </c>
      <c r="C37">
        <f t="shared" si="1"/>
        <v>333333333.33333331</v>
      </c>
    </row>
    <row r="38" spans="1:3" x14ac:dyDescent="0.35">
      <c r="A38" s="2"/>
      <c r="B38" s="1">
        <v>13</v>
      </c>
      <c r="C38">
        <f t="shared" si="1"/>
        <v>333333333.33333331</v>
      </c>
    </row>
    <row r="39" spans="1:3" x14ac:dyDescent="0.35">
      <c r="A39" s="2"/>
      <c r="B39" s="1">
        <v>14</v>
      </c>
      <c r="C39">
        <f t="shared" si="1"/>
        <v>333333333.33333331</v>
      </c>
    </row>
    <row r="40" spans="1:3" x14ac:dyDescent="0.35">
      <c r="A40" s="2"/>
      <c r="B40" s="1">
        <v>15</v>
      </c>
      <c r="C40">
        <f t="shared" si="1"/>
        <v>333333333.33333331</v>
      </c>
    </row>
    <row r="41" spans="1:3" x14ac:dyDescent="0.35">
      <c r="A41" s="2"/>
      <c r="B41" s="1">
        <v>16</v>
      </c>
      <c r="C41">
        <f t="shared" si="1"/>
        <v>333333333.33333331</v>
      </c>
    </row>
    <row r="42" spans="1:3" x14ac:dyDescent="0.35">
      <c r="A42" s="2"/>
      <c r="B42" s="1">
        <v>17</v>
      </c>
      <c r="C42">
        <f t="shared" si="1"/>
        <v>333333333.33333331</v>
      </c>
    </row>
    <row r="43" spans="1:3" x14ac:dyDescent="0.35">
      <c r="A43" s="2"/>
      <c r="B43" s="1">
        <v>18</v>
      </c>
      <c r="C43">
        <f t="shared" si="1"/>
        <v>333333333.33333331</v>
      </c>
    </row>
    <row r="44" spans="1:3" x14ac:dyDescent="0.35">
      <c r="A44" s="2"/>
      <c r="B44" s="1">
        <v>19</v>
      </c>
      <c r="C44">
        <f t="shared" si="1"/>
        <v>333333333.33333331</v>
      </c>
    </row>
    <row r="45" spans="1:3" x14ac:dyDescent="0.35">
      <c r="A45" s="2"/>
      <c r="B45" s="1">
        <v>20</v>
      </c>
      <c r="C45">
        <f t="shared" si="1"/>
        <v>333333333.33333331</v>
      </c>
    </row>
    <row r="46" spans="1:3" x14ac:dyDescent="0.35">
      <c r="A46" s="2"/>
      <c r="B46" s="1">
        <v>21</v>
      </c>
      <c r="C46">
        <f t="shared" si="1"/>
        <v>333333333.33333331</v>
      </c>
    </row>
    <row r="47" spans="1:3" x14ac:dyDescent="0.35">
      <c r="A47" s="2"/>
      <c r="B47" s="1">
        <v>22</v>
      </c>
      <c r="C47">
        <f t="shared" si="1"/>
        <v>333333333.33333331</v>
      </c>
    </row>
    <row r="48" spans="1:3" x14ac:dyDescent="0.35">
      <c r="A48" s="2"/>
      <c r="B48" s="1">
        <v>23</v>
      </c>
      <c r="C48">
        <f t="shared" si="1"/>
        <v>333333333.33333331</v>
      </c>
    </row>
    <row r="49" spans="1:3" x14ac:dyDescent="0.35">
      <c r="A49" s="2"/>
      <c r="B49" s="1">
        <v>24</v>
      </c>
      <c r="C49">
        <f t="shared" si="1"/>
        <v>333333333.33333331</v>
      </c>
    </row>
    <row r="50" spans="1:3" x14ac:dyDescent="0.35">
      <c r="A50" s="2" t="s">
        <v>12</v>
      </c>
      <c r="B50" s="1">
        <v>1</v>
      </c>
      <c r="C50">
        <f t="shared" ref="C50:C73" si="2">(9000/24)*1000000</f>
        <v>375000000</v>
      </c>
    </row>
    <row r="51" spans="1:3" x14ac:dyDescent="0.35">
      <c r="A51" s="2"/>
      <c r="B51" s="1">
        <v>2</v>
      </c>
      <c r="C51">
        <f t="shared" si="2"/>
        <v>375000000</v>
      </c>
    </row>
    <row r="52" spans="1:3" x14ac:dyDescent="0.35">
      <c r="A52" s="2"/>
      <c r="B52" s="1">
        <v>3</v>
      </c>
      <c r="C52">
        <f t="shared" si="2"/>
        <v>375000000</v>
      </c>
    </row>
    <row r="53" spans="1:3" x14ac:dyDescent="0.35">
      <c r="A53" s="2"/>
      <c r="B53" s="1">
        <v>4</v>
      </c>
      <c r="C53">
        <f t="shared" si="2"/>
        <v>375000000</v>
      </c>
    </row>
    <row r="54" spans="1:3" x14ac:dyDescent="0.35">
      <c r="A54" s="2"/>
      <c r="B54" s="1">
        <v>5</v>
      </c>
      <c r="C54">
        <f t="shared" si="2"/>
        <v>375000000</v>
      </c>
    </row>
    <row r="55" spans="1:3" x14ac:dyDescent="0.35">
      <c r="A55" s="2"/>
      <c r="B55" s="1">
        <v>6</v>
      </c>
      <c r="C55">
        <f t="shared" si="2"/>
        <v>375000000</v>
      </c>
    </row>
    <row r="56" spans="1:3" x14ac:dyDescent="0.35">
      <c r="A56" s="2"/>
      <c r="B56" s="1">
        <v>7</v>
      </c>
      <c r="C56">
        <f t="shared" si="2"/>
        <v>375000000</v>
      </c>
    </row>
    <row r="57" spans="1:3" x14ac:dyDescent="0.35">
      <c r="A57" s="2"/>
      <c r="B57" s="1">
        <v>8</v>
      </c>
      <c r="C57">
        <f t="shared" si="2"/>
        <v>375000000</v>
      </c>
    </row>
    <row r="58" spans="1:3" x14ac:dyDescent="0.35">
      <c r="A58" s="2"/>
      <c r="B58" s="1">
        <v>9</v>
      </c>
      <c r="C58">
        <f t="shared" si="2"/>
        <v>375000000</v>
      </c>
    </row>
    <row r="59" spans="1:3" x14ac:dyDescent="0.35">
      <c r="A59" s="2"/>
      <c r="B59" s="1">
        <v>10</v>
      </c>
      <c r="C59">
        <f t="shared" si="2"/>
        <v>375000000</v>
      </c>
    </row>
    <row r="60" spans="1:3" x14ac:dyDescent="0.35">
      <c r="A60" s="2"/>
      <c r="B60" s="1">
        <v>11</v>
      </c>
      <c r="C60">
        <f t="shared" si="2"/>
        <v>375000000</v>
      </c>
    </row>
    <row r="61" spans="1:3" x14ac:dyDescent="0.35">
      <c r="A61" s="2"/>
      <c r="B61" s="1">
        <v>12</v>
      </c>
      <c r="C61">
        <f t="shared" si="2"/>
        <v>375000000</v>
      </c>
    </row>
    <row r="62" spans="1:3" x14ac:dyDescent="0.35">
      <c r="A62" s="2"/>
      <c r="B62" s="1">
        <v>13</v>
      </c>
      <c r="C62">
        <f t="shared" si="2"/>
        <v>375000000</v>
      </c>
    </row>
    <row r="63" spans="1:3" x14ac:dyDescent="0.35">
      <c r="A63" s="2"/>
      <c r="B63" s="1">
        <v>14</v>
      </c>
      <c r="C63">
        <f t="shared" si="2"/>
        <v>375000000</v>
      </c>
    </row>
    <row r="64" spans="1:3" x14ac:dyDescent="0.35">
      <c r="A64" s="2"/>
      <c r="B64" s="1">
        <v>15</v>
      </c>
      <c r="C64">
        <f t="shared" si="2"/>
        <v>375000000</v>
      </c>
    </row>
    <row r="65" spans="1:3" x14ac:dyDescent="0.35">
      <c r="A65" s="2"/>
      <c r="B65" s="1">
        <v>16</v>
      </c>
      <c r="C65">
        <f t="shared" si="2"/>
        <v>375000000</v>
      </c>
    </row>
    <row r="66" spans="1:3" x14ac:dyDescent="0.35">
      <c r="A66" s="2"/>
      <c r="B66" s="1">
        <v>17</v>
      </c>
      <c r="C66">
        <f t="shared" si="2"/>
        <v>375000000</v>
      </c>
    </row>
    <row r="67" spans="1:3" x14ac:dyDescent="0.35">
      <c r="A67" s="2"/>
      <c r="B67" s="1">
        <v>18</v>
      </c>
      <c r="C67">
        <f t="shared" si="2"/>
        <v>375000000</v>
      </c>
    </row>
    <row r="68" spans="1:3" x14ac:dyDescent="0.35">
      <c r="A68" s="2"/>
      <c r="B68" s="1">
        <v>19</v>
      </c>
      <c r="C68">
        <f t="shared" si="2"/>
        <v>375000000</v>
      </c>
    </row>
    <row r="69" spans="1:3" x14ac:dyDescent="0.35">
      <c r="A69" s="2"/>
      <c r="B69" s="1">
        <v>20</v>
      </c>
      <c r="C69">
        <f t="shared" si="2"/>
        <v>375000000</v>
      </c>
    </row>
    <row r="70" spans="1:3" x14ac:dyDescent="0.35">
      <c r="A70" s="2"/>
      <c r="B70" s="1">
        <v>21</v>
      </c>
      <c r="C70">
        <f t="shared" si="2"/>
        <v>375000000</v>
      </c>
    </row>
    <row r="71" spans="1:3" x14ac:dyDescent="0.35">
      <c r="A71" s="2"/>
      <c r="B71" s="1">
        <v>22</v>
      </c>
      <c r="C71">
        <f t="shared" si="2"/>
        <v>375000000</v>
      </c>
    </row>
    <row r="72" spans="1:3" x14ac:dyDescent="0.35">
      <c r="A72" s="2"/>
      <c r="B72" s="1">
        <v>23</v>
      </c>
      <c r="C72">
        <f t="shared" si="2"/>
        <v>375000000</v>
      </c>
    </row>
    <row r="73" spans="1:3" x14ac:dyDescent="0.35">
      <c r="A73" s="2"/>
      <c r="B73" s="1">
        <v>24</v>
      </c>
      <c r="C73">
        <f t="shared" si="2"/>
        <v>375000000</v>
      </c>
    </row>
    <row r="74" spans="1:3" x14ac:dyDescent="0.35">
      <c r="A74" s="2" t="s">
        <v>13</v>
      </c>
      <c r="B74" s="1">
        <v>1</v>
      </c>
      <c r="C74">
        <f t="shared" ref="C74:C97" si="3">(10000/24)*1000000</f>
        <v>416666666.66666669</v>
      </c>
    </row>
    <row r="75" spans="1:3" x14ac:dyDescent="0.35">
      <c r="A75" s="2"/>
      <c r="B75" s="1">
        <v>2</v>
      </c>
      <c r="C75">
        <f t="shared" si="3"/>
        <v>416666666.66666669</v>
      </c>
    </row>
    <row r="76" spans="1:3" x14ac:dyDescent="0.35">
      <c r="A76" s="2"/>
      <c r="B76" s="1">
        <v>3</v>
      </c>
      <c r="C76">
        <f t="shared" si="3"/>
        <v>416666666.66666669</v>
      </c>
    </row>
    <row r="77" spans="1:3" x14ac:dyDescent="0.35">
      <c r="A77" s="2"/>
      <c r="B77" s="1">
        <v>4</v>
      </c>
      <c r="C77">
        <f t="shared" si="3"/>
        <v>416666666.66666669</v>
      </c>
    </row>
    <row r="78" spans="1:3" x14ac:dyDescent="0.35">
      <c r="A78" s="2"/>
      <c r="B78" s="1">
        <v>5</v>
      </c>
      <c r="C78">
        <f t="shared" si="3"/>
        <v>416666666.66666669</v>
      </c>
    </row>
    <row r="79" spans="1:3" x14ac:dyDescent="0.35">
      <c r="A79" s="2"/>
      <c r="B79" s="1">
        <v>6</v>
      </c>
      <c r="C79">
        <f t="shared" si="3"/>
        <v>416666666.66666669</v>
      </c>
    </row>
    <row r="80" spans="1:3" x14ac:dyDescent="0.35">
      <c r="A80" s="2"/>
      <c r="B80" s="1">
        <v>7</v>
      </c>
      <c r="C80">
        <f t="shared" si="3"/>
        <v>416666666.66666669</v>
      </c>
    </row>
    <row r="81" spans="1:3" x14ac:dyDescent="0.35">
      <c r="A81" s="2"/>
      <c r="B81" s="1">
        <v>8</v>
      </c>
      <c r="C81">
        <f t="shared" si="3"/>
        <v>416666666.66666669</v>
      </c>
    </row>
    <row r="82" spans="1:3" x14ac:dyDescent="0.35">
      <c r="A82" s="2"/>
      <c r="B82" s="1">
        <v>9</v>
      </c>
      <c r="C82">
        <f t="shared" si="3"/>
        <v>416666666.66666669</v>
      </c>
    </row>
    <row r="83" spans="1:3" x14ac:dyDescent="0.35">
      <c r="A83" s="2"/>
      <c r="B83" s="1">
        <v>10</v>
      </c>
      <c r="C83">
        <f t="shared" si="3"/>
        <v>416666666.66666669</v>
      </c>
    </row>
    <row r="84" spans="1:3" x14ac:dyDescent="0.35">
      <c r="A84" s="2"/>
      <c r="B84" s="1">
        <v>11</v>
      </c>
      <c r="C84">
        <f t="shared" si="3"/>
        <v>416666666.66666669</v>
      </c>
    </row>
    <row r="85" spans="1:3" x14ac:dyDescent="0.35">
      <c r="A85" s="2"/>
      <c r="B85" s="1">
        <v>12</v>
      </c>
      <c r="C85">
        <f t="shared" si="3"/>
        <v>416666666.66666669</v>
      </c>
    </row>
    <row r="86" spans="1:3" x14ac:dyDescent="0.35">
      <c r="A86" s="2"/>
      <c r="B86" s="1">
        <v>13</v>
      </c>
      <c r="C86">
        <f t="shared" si="3"/>
        <v>416666666.66666669</v>
      </c>
    </row>
    <row r="87" spans="1:3" x14ac:dyDescent="0.35">
      <c r="A87" s="2"/>
      <c r="B87" s="1">
        <v>14</v>
      </c>
      <c r="C87">
        <f t="shared" si="3"/>
        <v>416666666.66666669</v>
      </c>
    </row>
    <row r="88" spans="1:3" x14ac:dyDescent="0.35">
      <c r="A88" s="2"/>
      <c r="B88" s="1">
        <v>15</v>
      </c>
      <c r="C88">
        <f t="shared" si="3"/>
        <v>416666666.66666669</v>
      </c>
    </row>
    <row r="89" spans="1:3" x14ac:dyDescent="0.35">
      <c r="A89" s="2"/>
      <c r="B89" s="1">
        <v>16</v>
      </c>
      <c r="C89">
        <f t="shared" si="3"/>
        <v>416666666.66666669</v>
      </c>
    </row>
    <row r="90" spans="1:3" x14ac:dyDescent="0.35">
      <c r="A90" s="2"/>
      <c r="B90" s="1">
        <v>17</v>
      </c>
      <c r="C90">
        <f t="shared" si="3"/>
        <v>416666666.66666669</v>
      </c>
    </row>
    <row r="91" spans="1:3" x14ac:dyDescent="0.35">
      <c r="A91" s="2"/>
      <c r="B91" s="1">
        <v>18</v>
      </c>
      <c r="C91">
        <f t="shared" si="3"/>
        <v>416666666.66666669</v>
      </c>
    </row>
    <row r="92" spans="1:3" x14ac:dyDescent="0.35">
      <c r="A92" s="2"/>
      <c r="B92" s="1">
        <v>19</v>
      </c>
      <c r="C92">
        <f t="shared" si="3"/>
        <v>416666666.66666669</v>
      </c>
    </row>
    <row r="93" spans="1:3" x14ac:dyDescent="0.35">
      <c r="A93" s="2"/>
      <c r="B93" s="1">
        <v>20</v>
      </c>
      <c r="C93">
        <f t="shared" si="3"/>
        <v>416666666.66666669</v>
      </c>
    </row>
    <row r="94" spans="1:3" x14ac:dyDescent="0.35">
      <c r="A94" s="2"/>
      <c r="B94" s="1">
        <v>21</v>
      </c>
      <c r="C94">
        <f t="shared" si="3"/>
        <v>416666666.66666669</v>
      </c>
    </row>
    <row r="95" spans="1:3" x14ac:dyDescent="0.35">
      <c r="A95" s="2"/>
      <c r="B95" s="1">
        <v>22</v>
      </c>
      <c r="C95">
        <f t="shared" si="3"/>
        <v>416666666.66666669</v>
      </c>
    </row>
    <row r="96" spans="1:3" x14ac:dyDescent="0.35">
      <c r="A96" s="2"/>
      <c r="B96" s="1">
        <v>23</v>
      </c>
      <c r="C96">
        <f t="shared" si="3"/>
        <v>416666666.66666669</v>
      </c>
    </row>
    <row r="97" spans="1:3" x14ac:dyDescent="0.35">
      <c r="A97" s="2"/>
      <c r="B97" s="1">
        <v>24</v>
      </c>
      <c r="C97">
        <f t="shared" si="3"/>
        <v>416666666.66666669</v>
      </c>
    </row>
    <row r="98" spans="1:3" x14ac:dyDescent="0.35">
      <c r="A98" s="2" t="s">
        <v>14</v>
      </c>
      <c r="B98" s="1">
        <v>1</v>
      </c>
      <c r="C98">
        <f t="shared" ref="C98:C121" si="4">(12000/24)*1000000</f>
        <v>500000000</v>
      </c>
    </row>
    <row r="99" spans="1:3" x14ac:dyDescent="0.35">
      <c r="A99" s="2"/>
      <c r="B99" s="1">
        <v>2</v>
      </c>
      <c r="C99">
        <f t="shared" si="4"/>
        <v>500000000</v>
      </c>
    </row>
    <row r="100" spans="1:3" x14ac:dyDescent="0.35">
      <c r="A100" s="2"/>
      <c r="B100" s="1">
        <v>3</v>
      </c>
      <c r="C100">
        <f t="shared" si="4"/>
        <v>500000000</v>
      </c>
    </row>
    <row r="101" spans="1:3" x14ac:dyDescent="0.35">
      <c r="A101" s="2"/>
      <c r="B101" s="1">
        <v>4</v>
      </c>
      <c r="C101">
        <f t="shared" si="4"/>
        <v>500000000</v>
      </c>
    </row>
    <row r="102" spans="1:3" x14ac:dyDescent="0.35">
      <c r="A102" s="2"/>
      <c r="B102" s="1">
        <v>5</v>
      </c>
      <c r="C102">
        <f t="shared" si="4"/>
        <v>500000000</v>
      </c>
    </row>
    <row r="103" spans="1:3" x14ac:dyDescent="0.35">
      <c r="A103" s="2"/>
      <c r="B103" s="1">
        <v>6</v>
      </c>
      <c r="C103">
        <f t="shared" si="4"/>
        <v>500000000</v>
      </c>
    </row>
    <row r="104" spans="1:3" x14ac:dyDescent="0.35">
      <c r="A104" s="2"/>
      <c r="B104" s="1">
        <v>7</v>
      </c>
      <c r="C104">
        <f t="shared" si="4"/>
        <v>500000000</v>
      </c>
    </row>
    <row r="105" spans="1:3" x14ac:dyDescent="0.35">
      <c r="A105" s="2"/>
      <c r="B105" s="1">
        <v>8</v>
      </c>
      <c r="C105">
        <f t="shared" si="4"/>
        <v>500000000</v>
      </c>
    </row>
    <row r="106" spans="1:3" x14ac:dyDescent="0.35">
      <c r="A106" s="2"/>
      <c r="B106" s="1">
        <v>9</v>
      </c>
      <c r="C106">
        <f t="shared" si="4"/>
        <v>500000000</v>
      </c>
    </row>
    <row r="107" spans="1:3" x14ac:dyDescent="0.35">
      <c r="A107" s="2"/>
      <c r="B107" s="1">
        <v>10</v>
      </c>
      <c r="C107">
        <f t="shared" si="4"/>
        <v>500000000</v>
      </c>
    </row>
    <row r="108" spans="1:3" x14ac:dyDescent="0.35">
      <c r="A108" s="2"/>
      <c r="B108" s="1">
        <v>11</v>
      </c>
      <c r="C108">
        <f t="shared" si="4"/>
        <v>500000000</v>
      </c>
    </row>
    <row r="109" spans="1:3" x14ac:dyDescent="0.35">
      <c r="A109" s="2"/>
      <c r="B109" s="1">
        <v>12</v>
      </c>
      <c r="C109">
        <f t="shared" si="4"/>
        <v>500000000</v>
      </c>
    </row>
    <row r="110" spans="1:3" x14ac:dyDescent="0.35">
      <c r="A110" s="2"/>
      <c r="B110" s="1">
        <v>13</v>
      </c>
      <c r="C110">
        <f t="shared" si="4"/>
        <v>500000000</v>
      </c>
    </row>
    <row r="111" spans="1:3" x14ac:dyDescent="0.35">
      <c r="A111" s="2"/>
      <c r="B111" s="1">
        <v>14</v>
      </c>
      <c r="C111">
        <f t="shared" si="4"/>
        <v>500000000</v>
      </c>
    </row>
    <row r="112" spans="1:3" x14ac:dyDescent="0.35">
      <c r="A112" s="2"/>
      <c r="B112" s="1">
        <v>15</v>
      </c>
      <c r="C112">
        <f t="shared" si="4"/>
        <v>500000000</v>
      </c>
    </row>
    <row r="113" spans="1:3" x14ac:dyDescent="0.35">
      <c r="A113" s="2"/>
      <c r="B113" s="1">
        <v>16</v>
      </c>
      <c r="C113">
        <f t="shared" si="4"/>
        <v>500000000</v>
      </c>
    </row>
    <row r="114" spans="1:3" x14ac:dyDescent="0.35">
      <c r="A114" s="2"/>
      <c r="B114" s="1">
        <v>17</v>
      </c>
      <c r="C114">
        <f t="shared" si="4"/>
        <v>500000000</v>
      </c>
    </row>
    <row r="115" spans="1:3" x14ac:dyDescent="0.35">
      <c r="A115" s="2"/>
      <c r="B115" s="1">
        <v>18</v>
      </c>
      <c r="C115">
        <f t="shared" si="4"/>
        <v>500000000</v>
      </c>
    </row>
    <row r="116" spans="1:3" x14ac:dyDescent="0.35">
      <c r="A116" s="2"/>
      <c r="B116" s="1">
        <v>19</v>
      </c>
      <c r="C116">
        <f t="shared" si="4"/>
        <v>500000000</v>
      </c>
    </row>
    <row r="117" spans="1:3" x14ac:dyDescent="0.35">
      <c r="A117" s="2"/>
      <c r="B117" s="1">
        <v>20</v>
      </c>
      <c r="C117">
        <f t="shared" si="4"/>
        <v>500000000</v>
      </c>
    </row>
    <row r="118" spans="1:3" x14ac:dyDescent="0.35">
      <c r="A118" s="2"/>
      <c r="B118" s="1">
        <v>21</v>
      </c>
      <c r="C118">
        <f t="shared" si="4"/>
        <v>500000000</v>
      </c>
    </row>
    <row r="119" spans="1:3" x14ac:dyDescent="0.35">
      <c r="A119" s="2"/>
      <c r="B119" s="1">
        <v>22</v>
      </c>
      <c r="C119">
        <f t="shared" si="4"/>
        <v>500000000</v>
      </c>
    </row>
    <row r="120" spans="1:3" x14ac:dyDescent="0.35">
      <c r="A120" s="2"/>
      <c r="B120" s="1">
        <v>23</v>
      </c>
      <c r="C120">
        <f t="shared" si="4"/>
        <v>500000000</v>
      </c>
    </row>
    <row r="121" spans="1:3" x14ac:dyDescent="0.35">
      <c r="A121" s="2"/>
      <c r="B121" s="1">
        <v>24</v>
      </c>
      <c r="C121">
        <f t="shared" si="4"/>
        <v>500000000</v>
      </c>
    </row>
    <row r="122" spans="1:3" x14ac:dyDescent="0.35">
      <c r="A122" s="2" t="s">
        <v>15</v>
      </c>
      <c r="B122" s="1">
        <v>1</v>
      </c>
      <c r="C122">
        <f t="shared" ref="C122:C145" si="5">(13000/24)*1000000</f>
        <v>541666666.66666663</v>
      </c>
    </row>
    <row r="123" spans="1:3" x14ac:dyDescent="0.35">
      <c r="A123" s="2"/>
      <c r="B123" s="1">
        <v>2</v>
      </c>
      <c r="C123">
        <f t="shared" si="5"/>
        <v>541666666.66666663</v>
      </c>
    </row>
    <row r="124" spans="1:3" x14ac:dyDescent="0.35">
      <c r="A124" s="2"/>
      <c r="B124" s="1">
        <v>3</v>
      </c>
      <c r="C124">
        <f t="shared" si="5"/>
        <v>541666666.66666663</v>
      </c>
    </row>
    <row r="125" spans="1:3" x14ac:dyDescent="0.35">
      <c r="A125" s="2"/>
      <c r="B125" s="1">
        <v>4</v>
      </c>
      <c r="C125">
        <f t="shared" si="5"/>
        <v>541666666.66666663</v>
      </c>
    </row>
    <row r="126" spans="1:3" x14ac:dyDescent="0.35">
      <c r="A126" s="2"/>
      <c r="B126" s="1">
        <v>5</v>
      </c>
      <c r="C126">
        <f t="shared" si="5"/>
        <v>541666666.66666663</v>
      </c>
    </row>
    <row r="127" spans="1:3" x14ac:dyDescent="0.35">
      <c r="A127" s="2"/>
      <c r="B127" s="1">
        <v>6</v>
      </c>
      <c r="C127">
        <f t="shared" si="5"/>
        <v>541666666.66666663</v>
      </c>
    </row>
    <row r="128" spans="1:3" x14ac:dyDescent="0.35">
      <c r="A128" s="2"/>
      <c r="B128" s="1">
        <v>7</v>
      </c>
      <c r="C128">
        <f t="shared" si="5"/>
        <v>541666666.66666663</v>
      </c>
    </row>
    <row r="129" spans="1:3" x14ac:dyDescent="0.35">
      <c r="A129" s="2"/>
      <c r="B129" s="1">
        <v>8</v>
      </c>
      <c r="C129">
        <f t="shared" si="5"/>
        <v>541666666.66666663</v>
      </c>
    </row>
    <row r="130" spans="1:3" x14ac:dyDescent="0.35">
      <c r="A130" s="2"/>
      <c r="B130" s="1">
        <v>9</v>
      </c>
      <c r="C130">
        <f t="shared" si="5"/>
        <v>541666666.66666663</v>
      </c>
    </row>
    <row r="131" spans="1:3" x14ac:dyDescent="0.35">
      <c r="A131" s="2"/>
      <c r="B131" s="1">
        <v>10</v>
      </c>
      <c r="C131">
        <f t="shared" si="5"/>
        <v>541666666.66666663</v>
      </c>
    </row>
    <row r="132" spans="1:3" x14ac:dyDescent="0.35">
      <c r="A132" s="2"/>
      <c r="B132" s="1">
        <v>11</v>
      </c>
      <c r="C132">
        <f t="shared" si="5"/>
        <v>541666666.66666663</v>
      </c>
    </row>
    <row r="133" spans="1:3" x14ac:dyDescent="0.35">
      <c r="A133" s="2"/>
      <c r="B133" s="1">
        <v>12</v>
      </c>
      <c r="C133">
        <f t="shared" si="5"/>
        <v>541666666.66666663</v>
      </c>
    </row>
    <row r="134" spans="1:3" x14ac:dyDescent="0.35">
      <c r="A134" s="2"/>
      <c r="B134" s="1">
        <v>13</v>
      </c>
      <c r="C134">
        <f t="shared" si="5"/>
        <v>541666666.66666663</v>
      </c>
    </row>
    <row r="135" spans="1:3" x14ac:dyDescent="0.35">
      <c r="A135" s="2"/>
      <c r="B135" s="1">
        <v>14</v>
      </c>
      <c r="C135">
        <f t="shared" si="5"/>
        <v>541666666.66666663</v>
      </c>
    </row>
    <row r="136" spans="1:3" x14ac:dyDescent="0.35">
      <c r="A136" s="2"/>
      <c r="B136" s="1">
        <v>15</v>
      </c>
      <c r="C136">
        <f t="shared" si="5"/>
        <v>541666666.66666663</v>
      </c>
    </row>
    <row r="137" spans="1:3" x14ac:dyDescent="0.35">
      <c r="A137" s="2"/>
      <c r="B137" s="1">
        <v>16</v>
      </c>
      <c r="C137">
        <f t="shared" si="5"/>
        <v>541666666.66666663</v>
      </c>
    </row>
    <row r="138" spans="1:3" x14ac:dyDescent="0.35">
      <c r="A138" s="2"/>
      <c r="B138" s="1">
        <v>17</v>
      </c>
      <c r="C138">
        <f t="shared" si="5"/>
        <v>541666666.66666663</v>
      </c>
    </row>
    <row r="139" spans="1:3" x14ac:dyDescent="0.35">
      <c r="A139" s="2"/>
      <c r="B139" s="1">
        <v>18</v>
      </c>
      <c r="C139">
        <f t="shared" si="5"/>
        <v>541666666.66666663</v>
      </c>
    </row>
    <row r="140" spans="1:3" x14ac:dyDescent="0.35">
      <c r="A140" s="2"/>
      <c r="B140" s="1">
        <v>19</v>
      </c>
      <c r="C140">
        <f t="shared" si="5"/>
        <v>541666666.66666663</v>
      </c>
    </row>
    <row r="141" spans="1:3" x14ac:dyDescent="0.35">
      <c r="A141" s="2"/>
      <c r="B141" s="1">
        <v>20</v>
      </c>
      <c r="C141">
        <f t="shared" si="5"/>
        <v>541666666.66666663</v>
      </c>
    </row>
    <row r="142" spans="1:3" x14ac:dyDescent="0.35">
      <c r="A142" s="2"/>
      <c r="B142" s="1">
        <v>21</v>
      </c>
      <c r="C142">
        <f t="shared" si="5"/>
        <v>541666666.66666663</v>
      </c>
    </row>
    <row r="143" spans="1:3" x14ac:dyDescent="0.35">
      <c r="A143" s="2"/>
      <c r="B143" s="1">
        <v>22</v>
      </c>
      <c r="C143">
        <f t="shared" si="5"/>
        <v>541666666.66666663</v>
      </c>
    </row>
    <row r="144" spans="1:3" x14ac:dyDescent="0.35">
      <c r="A144" s="2"/>
      <c r="B144" s="1">
        <v>23</v>
      </c>
      <c r="C144">
        <f t="shared" si="5"/>
        <v>541666666.66666663</v>
      </c>
    </row>
    <row r="145" spans="1:3" x14ac:dyDescent="0.35">
      <c r="A145" s="2"/>
      <c r="B145" s="1">
        <v>24</v>
      </c>
      <c r="C145">
        <f t="shared" si="5"/>
        <v>541666666.66666663</v>
      </c>
    </row>
    <row r="146" spans="1:3" x14ac:dyDescent="0.35">
      <c r="A146" s="2" t="s">
        <v>16</v>
      </c>
      <c r="B146" s="1">
        <v>1</v>
      </c>
      <c r="C146">
        <f t="shared" ref="C146:C169" si="6">(15000/24)*1000000</f>
        <v>625000000</v>
      </c>
    </row>
    <row r="147" spans="1:3" x14ac:dyDescent="0.35">
      <c r="A147" s="2"/>
      <c r="B147" s="1">
        <v>2</v>
      </c>
      <c r="C147">
        <f t="shared" si="6"/>
        <v>625000000</v>
      </c>
    </row>
    <row r="148" spans="1:3" x14ac:dyDescent="0.35">
      <c r="A148" s="2"/>
      <c r="B148" s="1">
        <v>3</v>
      </c>
      <c r="C148">
        <f t="shared" si="6"/>
        <v>625000000</v>
      </c>
    </row>
    <row r="149" spans="1:3" x14ac:dyDescent="0.35">
      <c r="A149" s="2"/>
      <c r="B149" s="1">
        <v>4</v>
      </c>
      <c r="C149">
        <f t="shared" si="6"/>
        <v>625000000</v>
      </c>
    </row>
    <row r="150" spans="1:3" x14ac:dyDescent="0.35">
      <c r="A150" s="2"/>
      <c r="B150" s="1">
        <v>5</v>
      </c>
      <c r="C150">
        <f t="shared" si="6"/>
        <v>625000000</v>
      </c>
    </row>
    <row r="151" spans="1:3" x14ac:dyDescent="0.35">
      <c r="A151" s="2"/>
      <c r="B151" s="1">
        <v>6</v>
      </c>
      <c r="C151">
        <f t="shared" si="6"/>
        <v>625000000</v>
      </c>
    </row>
    <row r="152" spans="1:3" x14ac:dyDescent="0.35">
      <c r="A152" s="2"/>
      <c r="B152" s="1">
        <v>7</v>
      </c>
      <c r="C152">
        <f t="shared" si="6"/>
        <v>625000000</v>
      </c>
    </row>
    <row r="153" spans="1:3" x14ac:dyDescent="0.35">
      <c r="A153" s="2"/>
      <c r="B153" s="1">
        <v>8</v>
      </c>
      <c r="C153">
        <f t="shared" si="6"/>
        <v>625000000</v>
      </c>
    </row>
    <row r="154" spans="1:3" x14ac:dyDescent="0.35">
      <c r="A154" s="2"/>
      <c r="B154" s="1">
        <v>9</v>
      </c>
      <c r="C154">
        <f t="shared" si="6"/>
        <v>625000000</v>
      </c>
    </row>
    <row r="155" spans="1:3" x14ac:dyDescent="0.35">
      <c r="A155" s="2"/>
      <c r="B155" s="1">
        <v>10</v>
      </c>
      <c r="C155">
        <f t="shared" si="6"/>
        <v>625000000</v>
      </c>
    </row>
    <row r="156" spans="1:3" x14ac:dyDescent="0.35">
      <c r="A156" s="2"/>
      <c r="B156" s="1">
        <v>11</v>
      </c>
      <c r="C156">
        <f t="shared" si="6"/>
        <v>625000000</v>
      </c>
    </row>
    <row r="157" spans="1:3" x14ac:dyDescent="0.35">
      <c r="A157" s="2"/>
      <c r="B157" s="1">
        <v>12</v>
      </c>
      <c r="C157">
        <f t="shared" si="6"/>
        <v>625000000</v>
      </c>
    </row>
    <row r="158" spans="1:3" x14ac:dyDescent="0.35">
      <c r="A158" s="2"/>
      <c r="B158" s="1">
        <v>13</v>
      </c>
      <c r="C158">
        <f t="shared" si="6"/>
        <v>625000000</v>
      </c>
    </row>
    <row r="159" spans="1:3" x14ac:dyDescent="0.35">
      <c r="A159" s="2"/>
      <c r="B159" s="1">
        <v>14</v>
      </c>
      <c r="C159">
        <f t="shared" si="6"/>
        <v>625000000</v>
      </c>
    </row>
    <row r="160" spans="1:3" x14ac:dyDescent="0.35">
      <c r="A160" s="2"/>
      <c r="B160" s="1">
        <v>15</v>
      </c>
      <c r="C160">
        <f t="shared" si="6"/>
        <v>625000000</v>
      </c>
    </row>
    <row r="161" spans="1:3" x14ac:dyDescent="0.35">
      <c r="A161" s="2"/>
      <c r="B161" s="1">
        <v>16</v>
      </c>
      <c r="C161">
        <f t="shared" si="6"/>
        <v>625000000</v>
      </c>
    </row>
    <row r="162" spans="1:3" x14ac:dyDescent="0.35">
      <c r="A162" s="2"/>
      <c r="B162" s="1">
        <v>17</v>
      </c>
      <c r="C162">
        <f t="shared" si="6"/>
        <v>625000000</v>
      </c>
    </row>
    <row r="163" spans="1:3" x14ac:dyDescent="0.35">
      <c r="A163" s="2"/>
      <c r="B163" s="1">
        <v>18</v>
      </c>
      <c r="C163">
        <f t="shared" si="6"/>
        <v>625000000</v>
      </c>
    </row>
    <row r="164" spans="1:3" x14ac:dyDescent="0.35">
      <c r="A164" s="2"/>
      <c r="B164" s="1">
        <v>19</v>
      </c>
      <c r="C164">
        <f t="shared" si="6"/>
        <v>625000000</v>
      </c>
    </row>
    <row r="165" spans="1:3" x14ac:dyDescent="0.35">
      <c r="A165" s="2"/>
      <c r="B165" s="1">
        <v>20</v>
      </c>
      <c r="C165">
        <f t="shared" si="6"/>
        <v>625000000</v>
      </c>
    </row>
    <row r="166" spans="1:3" x14ac:dyDescent="0.35">
      <c r="A166" s="2"/>
      <c r="B166" s="1">
        <v>21</v>
      </c>
      <c r="C166">
        <f t="shared" si="6"/>
        <v>625000000</v>
      </c>
    </row>
    <row r="167" spans="1:3" x14ac:dyDescent="0.35">
      <c r="A167" s="2"/>
      <c r="B167" s="1">
        <v>22</v>
      </c>
      <c r="C167">
        <f t="shared" si="6"/>
        <v>625000000</v>
      </c>
    </row>
    <row r="168" spans="1:3" x14ac:dyDescent="0.35">
      <c r="A168" s="2"/>
      <c r="B168" s="1">
        <v>23</v>
      </c>
      <c r="C168">
        <f t="shared" si="6"/>
        <v>625000000</v>
      </c>
    </row>
    <row r="169" spans="1:3" x14ac:dyDescent="0.35">
      <c r="A169" s="2"/>
      <c r="B169" s="1">
        <v>24</v>
      </c>
      <c r="C169">
        <f t="shared" si="6"/>
        <v>625000000</v>
      </c>
    </row>
    <row r="170" spans="1:3" x14ac:dyDescent="0.35">
      <c r="A170" s="2" t="s">
        <v>17</v>
      </c>
      <c r="B170" s="1">
        <v>1</v>
      </c>
      <c r="C170">
        <f t="shared" ref="C170:C201" si="7">(16000/24)*1000000</f>
        <v>666666666.66666663</v>
      </c>
    </row>
    <row r="171" spans="1:3" x14ac:dyDescent="0.35">
      <c r="A171" s="2"/>
      <c r="B171" s="1">
        <v>2</v>
      </c>
      <c r="C171">
        <f t="shared" si="7"/>
        <v>666666666.66666663</v>
      </c>
    </row>
    <row r="172" spans="1:3" x14ac:dyDescent="0.35">
      <c r="A172" s="2"/>
      <c r="B172" s="1">
        <v>3</v>
      </c>
      <c r="C172">
        <f t="shared" si="7"/>
        <v>666666666.66666663</v>
      </c>
    </row>
    <row r="173" spans="1:3" x14ac:dyDescent="0.35">
      <c r="A173" s="2"/>
      <c r="B173" s="1">
        <v>4</v>
      </c>
      <c r="C173">
        <f t="shared" si="7"/>
        <v>666666666.66666663</v>
      </c>
    </row>
    <row r="174" spans="1:3" x14ac:dyDescent="0.35">
      <c r="A174" s="2"/>
      <c r="B174" s="1">
        <v>5</v>
      </c>
      <c r="C174">
        <f t="shared" si="7"/>
        <v>666666666.66666663</v>
      </c>
    </row>
    <row r="175" spans="1:3" x14ac:dyDescent="0.35">
      <c r="A175" s="2"/>
      <c r="B175" s="1">
        <v>6</v>
      </c>
      <c r="C175">
        <f t="shared" si="7"/>
        <v>666666666.66666663</v>
      </c>
    </row>
    <row r="176" spans="1:3" x14ac:dyDescent="0.35">
      <c r="A176" s="2"/>
      <c r="B176" s="1">
        <v>7</v>
      </c>
      <c r="C176">
        <f t="shared" si="7"/>
        <v>666666666.66666663</v>
      </c>
    </row>
    <row r="177" spans="1:3" x14ac:dyDescent="0.35">
      <c r="A177" s="2"/>
      <c r="B177" s="1">
        <v>8</v>
      </c>
      <c r="C177">
        <f t="shared" si="7"/>
        <v>666666666.66666663</v>
      </c>
    </row>
    <row r="178" spans="1:3" x14ac:dyDescent="0.35">
      <c r="A178" s="2"/>
      <c r="B178" s="1">
        <v>9</v>
      </c>
      <c r="C178">
        <f t="shared" si="7"/>
        <v>666666666.66666663</v>
      </c>
    </row>
    <row r="179" spans="1:3" x14ac:dyDescent="0.35">
      <c r="A179" s="2"/>
      <c r="B179" s="1">
        <v>10</v>
      </c>
      <c r="C179">
        <f t="shared" si="7"/>
        <v>666666666.66666663</v>
      </c>
    </row>
    <row r="180" spans="1:3" x14ac:dyDescent="0.35">
      <c r="A180" s="2"/>
      <c r="B180" s="1">
        <v>11</v>
      </c>
      <c r="C180">
        <f t="shared" si="7"/>
        <v>666666666.66666663</v>
      </c>
    </row>
    <row r="181" spans="1:3" x14ac:dyDescent="0.35">
      <c r="A181" s="2"/>
      <c r="B181" s="1">
        <v>12</v>
      </c>
      <c r="C181">
        <f t="shared" si="7"/>
        <v>666666666.66666663</v>
      </c>
    </row>
    <row r="182" spans="1:3" x14ac:dyDescent="0.35">
      <c r="A182" s="2"/>
      <c r="B182" s="1">
        <v>13</v>
      </c>
      <c r="C182">
        <f t="shared" si="7"/>
        <v>666666666.66666663</v>
      </c>
    </row>
    <row r="183" spans="1:3" x14ac:dyDescent="0.35">
      <c r="A183" s="2"/>
      <c r="B183" s="1">
        <v>14</v>
      </c>
      <c r="C183">
        <f t="shared" si="7"/>
        <v>666666666.66666663</v>
      </c>
    </row>
    <row r="184" spans="1:3" x14ac:dyDescent="0.35">
      <c r="A184" s="2"/>
      <c r="B184" s="1">
        <v>15</v>
      </c>
      <c r="C184">
        <f t="shared" si="7"/>
        <v>666666666.66666663</v>
      </c>
    </row>
    <row r="185" spans="1:3" x14ac:dyDescent="0.35">
      <c r="A185" s="2"/>
      <c r="B185" s="1">
        <v>16</v>
      </c>
      <c r="C185">
        <f t="shared" si="7"/>
        <v>666666666.66666663</v>
      </c>
    </row>
    <row r="186" spans="1:3" x14ac:dyDescent="0.35">
      <c r="A186" s="2"/>
      <c r="B186" s="1">
        <v>17</v>
      </c>
      <c r="C186">
        <f t="shared" si="7"/>
        <v>666666666.66666663</v>
      </c>
    </row>
    <row r="187" spans="1:3" x14ac:dyDescent="0.35">
      <c r="A187" s="2"/>
      <c r="B187" s="1">
        <v>18</v>
      </c>
      <c r="C187">
        <f t="shared" si="7"/>
        <v>666666666.66666663</v>
      </c>
    </row>
    <row r="188" spans="1:3" x14ac:dyDescent="0.35">
      <c r="A188" s="2"/>
      <c r="B188" s="1">
        <v>19</v>
      </c>
      <c r="C188">
        <f t="shared" si="7"/>
        <v>666666666.66666663</v>
      </c>
    </row>
    <row r="189" spans="1:3" x14ac:dyDescent="0.35">
      <c r="A189" s="2"/>
      <c r="B189" s="1">
        <v>20</v>
      </c>
      <c r="C189">
        <f t="shared" si="7"/>
        <v>666666666.66666663</v>
      </c>
    </row>
    <row r="190" spans="1:3" x14ac:dyDescent="0.35">
      <c r="A190" s="2"/>
      <c r="B190" s="1">
        <v>21</v>
      </c>
      <c r="C190">
        <f t="shared" si="7"/>
        <v>666666666.66666663</v>
      </c>
    </row>
    <row r="191" spans="1:3" x14ac:dyDescent="0.35">
      <c r="A191" s="2"/>
      <c r="B191" s="1">
        <v>22</v>
      </c>
      <c r="C191">
        <f t="shared" si="7"/>
        <v>666666666.66666663</v>
      </c>
    </row>
    <row r="192" spans="1:3" x14ac:dyDescent="0.35">
      <c r="A192" s="2"/>
      <c r="B192" s="1">
        <v>23</v>
      </c>
      <c r="C192">
        <f t="shared" si="7"/>
        <v>666666666.66666663</v>
      </c>
    </row>
    <row r="193" spans="1:3" x14ac:dyDescent="0.35">
      <c r="A193" s="2"/>
      <c r="B193" s="1">
        <v>24</v>
      </c>
      <c r="C193">
        <f t="shared" si="7"/>
        <v>666666666.66666663</v>
      </c>
    </row>
    <row r="194" spans="1:3" x14ac:dyDescent="0.35">
      <c r="A194" s="2" t="s">
        <v>18</v>
      </c>
      <c r="B194" s="1">
        <v>1</v>
      </c>
      <c r="C194">
        <f t="shared" si="7"/>
        <v>666666666.66666663</v>
      </c>
    </row>
    <row r="195" spans="1:3" x14ac:dyDescent="0.35">
      <c r="A195" s="2"/>
      <c r="B195" s="1">
        <v>2</v>
      </c>
      <c r="C195">
        <f t="shared" si="7"/>
        <v>666666666.66666663</v>
      </c>
    </row>
    <row r="196" spans="1:3" x14ac:dyDescent="0.35">
      <c r="A196" s="2"/>
      <c r="B196" s="1">
        <v>3</v>
      </c>
      <c r="C196">
        <f t="shared" si="7"/>
        <v>666666666.66666663</v>
      </c>
    </row>
    <row r="197" spans="1:3" x14ac:dyDescent="0.35">
      <c r="A197" s="2"/>
      <c r="B197" s="1">
        <v>4</v>
      </c>
      <c r="C197">
        <f t="shared" si="7"/>
        <v>666666666.66666663</v>
      </c>
    </row>
    <row r="198" spans="1:3" x14ac:dyDescent="0.35">
      <c r="A198" s="2"/>
      <c r="B198" s="1">
        <v>5</v>
      </c>
      <c r="C198">
        <f t="shared" si="7"/>
        <v>666666666.66666663</v>
      </c>
    </row>
    <row r="199" spans="1:3" x14ac:dyDescent="0.35">
      <c r="A199" s="2"/>
      <c r="B199" s="1">
        <v>6</v>
      </c>
      <c r="C199">
        <f t="shared" si="7"/>
        <v>666666666.66666663</v>
      </c>
    </row>
    <row r="200" spans="1:3" x14ac:dyDescent="0.35">
      <c r="A200" s="2"/>
      <c r="B200" s="1">
        <v>7</v>
      </c>
      <c r="C200">
        <f t="shared" si="7"/>
        <v>666666666.66666663</v>
      </c>
    </row>
    <row r="201" spans="1:3" x14ac:dyDescent="0.35">
      <c r="A201" s="2"/>
      <c r="B201" s="1">
        <v>8</v>
      </c>
      <c r="C201">
        <f t="shared" si="7"/>
        <v>666666666.66666663</v>
      </c>
    </row>
    <row r="202" spans="1:3" x14ac:dyDescent="0.35">
      <c r="A202" s="2"/>
      <c r="B202" s="1">
        <v>9</v>
      </c>
      <c r="C202">
        <f t="shared" ref="C202:C233" si="8">(16000/24)*1000000</f>
        <v>666666666.66666663</v>
      </c>
    </row>
    <row r="203" spans="1:3" x14ac:dyDescent="0.35">
      <c r="A203" s="2"/>
      <c r="B203" s="1">
        <v>10</v>
      </c>
      <c r="C203">
        <f t="shared" si="8"/>
        <v>666666666.66666663</v>
      </c>
    </row>
    <row r="204" spans="1:3" x14ac:dyDescent="0.35">
      <c r="A204" s="2"/>
      <c r="B204" s="1">
        <v>11</v>
      </c>
      <c r="C204">
        <f t="shared" si="8"/>
        <v>666666666.66666663</v>
      </c>
    </row>
    <row r="205" spans="1:3" x14ac:dyDescent="0.35">
      <c r="A205" s="2"/>
      <c r="B205" s="1">
        <v>12</v>
      </c>
      <c r="C205">
        <f t="shared" si="8"/>
        <v>666666666.66666663</v>
      </c>
    </row>
    <row r="206" spans="1:3" x14ac:dyDescent="0.35">
      <c r="A206" s="2"/>
      <c r="B206" s="1">
        <v>13</v>
      </c>
      <c r="C206">
        <f t="shared" si="8"/>
        <v>666666666.66666663</v>
      </c>
    </row>
    <row r="207" spans="1:3" x14ac:dyDescent="0.35">
      <c r="A207" s="2"/>
      <c r="B207" s="1">
        <v>14</v>
      </c>
      <c r="C207">
        <f t="shared" si="8"/>
        <v>666666666.66666663</v>
      </c>
    </row>
    <row r="208" spans="1:3" x14ac:dyDescent="0.35">
      <c r="A208" s="2"/>
      <c r="B208" s="1">
        <v>15</v>
      </c>
      <c r="C208">
        <f t="shared" si="8"/>
        <v>666666666.66666663</v>
      </c>
    </row>
    <row r="209" spans="1:3" x14ac:dyDescent="0.35">
      <c r="A209" s="2"/>
      <c r="B209" s="1">
        <v>16</v>
      </c>
      <c r="C209">
        <f t="shared" si="8"/>
        <v>666666666.66666663</v>
      </c>
    </row>
    <row r="210" spans="1:3" x14ac:dyDescent="0.35">
      <c r="A210" s="2"/>
      <c r="B210" s="1">
        <v>17</v>
      </c>
      <c r="C210">
        <f t="shared" si="8"/>
        <v>666666666.66666663</v>
      </c>
    </row>
    <row r="211" spans="1:3" x14ac:dyDescent="0.35">
      <c r="A211" s="2"/>
      <c r="B211" s="1">
        <v>18</v>
      </c>
      <c r="C211">
        <f t="shared" si="8"/>
        <v>666666666.66666663</v>
      </c>
    </row>
    <row r="212" spans="1:3" x14ac:dyDescent="0.35">
      <c r="A212" s="2"/>
      <c r="B212" s="1">
        <v>19</v>
      </c>
      <c r="C212">
        <f t="shared" si="8"/>
        <v>666666666.66666663</v>
      </c>
    </row>
    <row r="213" spans="1:3" x14ac:dyDescent="0.35">
      <c r="A213" s="2"/>
      <c r="B213" s="1">
        <v>20</v>
      </c>
      <c r="C213">
        <f t="shared" si="8"/>
        <v>666666666.66666663</v>
      </c>
    </row>
    <row r="214" spans="1:3" x14ac:dyDescent="0.35">
      <c r="A214" s="2"/>
      <c r="B214" s="1">
        <v>21</v>
      </c>
      <c r="C214">
        <f t="shared" si="8"/>
        <v>666666666.66666663</v>
      </c>
    </row>
    <row r="215" spans="1:3" x14ac:dyDescent="0.35">
      <c r="A215" s="2"/>
      <c r="B215" s="1">
        <v>22</v>
      </c>
      <c r="C215">
        <f t="shared" si="8"/>
        <v>666666666.66666663</v>
      </c>
    </row>
    <row r="216" spans="1:3" x14ac:dyDescent="0.35">
      <c r="A216" s="2"/>
      <c r="B216" s="1">
        <v>23</v>
      </c>
      <c r="C216">
        <f t="shared" si="8"/>
        <v>666666666.66666663</v>
      </c>
    </row>
    <row r="217" spans="1:3" x14ac:dyDescent="0.35">
      <c r="A217" s="2"/>
      <c r="B217" s="1">
        <v>24</v>
      </c>
      <c r="C217">
        <f t="shared" si="8"/>
        <v>666666666.66666663</v>
      </c>
    </row>
    <row r="218" spans="1:3" x14ac:dyDescent="0.35">
      <c r="A218" s="2" t="s">
        <v>19</v>
      </c>
      <c r="B218" s="1">
        <v>1</v>
      </c>
      <c r="C218">
        <f t="shared" si="8"/>
        <v>666666666.66666663</v>
      </c>
    </row>
    <row r="219" spans="1:3" x14ac:dyDescent="0.35">
      <c r="A219" s="2"/>
      <c r="B219" s="1">
        <v>2</v>
      </c>
      <c r="C219">
        <f t="shared" si="8"/>
        <v>666666666.66666663</v>
      </c>
    </row>
    <row r="220" spans="1:3" x14ac:dyDescent="0.35">
      <c r="A220" s="2"/>
      <c r="B220" s="1">
        <v>3</v>
      </c>
      <c r="C220">
        <f t="shared" si="8"/>
        <v>666666666.66666663</v>
      </c>
    </row>
    <row r="221" spans="1:3" x14ac:dyDescent="0.35">
      <c r="A221" s="2"/>
      <c r="B221" s="1">
        <v>4</v>
      </c>
      <c r="C221">
        <f t="shared" si="8"/>
        <v>666666666.66666663</v>
      </c>
    </row>
    <row r="222" spans="1:3" x14ac:dyDescent="0.35">
      <c r="A222" s="2"/>
      <c r="B222" s="1">
        <v>5</v>
      </c>
      <c r="C222">
        <f t="shared" si="8"/>
        <v>666666666.66666663</v>
      </c>
    </row>
    <row r="223" spans="1:3" x14ac:dyDescent="0.35">
      <c r="A223" s="2"/>
      <c r="B223" s="1">
        <v>6</v>
      </c>
      <c r="C223">
        <f t="shared" si="8"/>
        <v>666666666.66666663</v>
      </c>
    </row>
    <row r="224" spans="1:3" x14ac:dyDescent="0.35">
      <c r="A224" s="2"/>
      <c r="B224" s="1">
        <v>7</v>
      </c>
      <c r="C224">
        <f t="shared" si="8"/>
        <v>666666666.66666663</v>
      </c>
    </row>
    <row r="225" spans="1:3" x14ac:dyDescent="0.35">
      <c r="A225" s="2"/>
      <c r="B225" s="1">
        <v>8</v>
      </c>
      <c r="C225">
        <f t="shared" si="8"/>
        <v>666666666.66666663</v>
      </c>
    </row>
    <row r="226" spans="1:3" x14ac:dyDescent="0.35">
      <c r="A226" s="2"/>
      <c r="B226" s="1">
        <v>9</v>
      </c>
      <c r="C226">
        <f t="shared" si="8"/>
        <v>666666666.66666663</v>
      </c>
    </row>
    <row r="227" spans="1:3" x14ac:dyDescent="0.35">
      <c r="A227" s="2"/>
      <c r="B227" s="1">
        <v>10</v>
      </c>
      <c r="C227">
        <f t="shared" si="8"/>
        <v>666666666.66666663</v>
      </c>
    </row>
    <row r="228" spans="1:3" x14ac:dyDescent="0.35">
      <c r="A228" s="2"/>
      <c r="B228" s="1">
        <v>11</v>
      </c>
      <c r="C228">
        <f t="shared" si="8"/>
        <v>666666666.66666663</v>
      </c>
    </row>
    <row r="229" spans="1:3" x14ac:dyDescent="0.35">
      <c r="A229" s="2"/>
      <c r="B229" s="1">
        <v>12</v>
      </c>
      <c r="C229">
        <f t="shared" si="8"/>
        <v>666666666.66666663</v>
      </c>
    </row>
    <row r="230" spans="1:3" x14ac:dyDescent="0.35">
      <c r="A230" s="2"/>
      <c r="B230" s="1">
        <v>13</v>
      </c>
      <c r="C230">
        <f t="shared" si="8"/>
        <v>666666666.66666663</v>
      </c>
    </row>
    <row r="231" spans="1:3" x14ac:dyDescent="0.35">
      <c r="A231" s="2"/>
      <c r="B231" s="1">
        <v>14</v>
      </c>
      <c r="C231">
        <f t="shared" si="8"/>
        <v>666666666.66666663</v>
      </c>
    </row>
    <row r="232" spans="1:3" x14ac:dyDescent="0.35">
      <c r="A232" s="2"/>
      <c r="B232" s="1">
        <v>15</v>
      </c>
      <c r="C232">
        <f t="shared" si="8"/>
        <v>666666666.66666663</v>
      </c>
    </row>
    <row r="233" spans="1:3" x14ac:dyDescent="0.35">
      <c r="A233" s="2"/>
      <c r="B233" s="1">
        <v>16</v>
      </c>
      <c r="C233">
        <f t="shared" si="8"/>
        <v>666666666.66666663</v>
      </c>
    </row>
    <row r="234" spans="1:3" x14ac:dyDescent="0.35">
      <c r="A234" s="2"/>
      <c r="B234" s="1">
        <v>17</v>
      </c>
      <c r="C234">
        <f t="shared" ref="C234:C265" si="9">(16000/24)*1000000</f>
        <v>666666666.66666663</v>
      </c>
    </row>
    <row r="235" spans="1:3" x14ac:dyDescent="0.35">
      <c r="A235" s="2"/>
      <c r="B235" s="1">
        <v>18</v>
      </c>
      <c r="C235">
        <f t="shared" si="9"/>
        <v>666666666.66666663</v>
      </c>
    </row>
    <row r="236" spans="1:3" x14ac:dyDescent="0.35">
      <c r="A236" s="2"/>
      <c r="B236" s="1">
        <v>19</v>
      </c>
      <c r="C236">
        <f t="shared" si="9"/>
        <v>666666666.66666663</v>
      </c>
    </row>
    <row r="237" spans="1:3" x14ac:dyDescent="0.35">
      <c r="A237" s="2"/>
      <c r="B237" s="1">
        <v>20</v>
      </c>
      <c r="C237">
        <f t="shared" si="9"/>
        <v>666666666.66666663</v>
      </c>
    </row>
    <row r="238" spans="1:3" x14ac:dyDescent="0.35">
      <c r="A238" s="2"/>
      <c r="B238" s="1">
        <v>21</v>
      </c>
      <c r="C238">
        <f t="shared" si="9"/>
        <v>666666666.66666663</v>
      </c>
    </row>
    <row r="239" spans="1:3" x14ac:dyDescent="0.35">
      <c r="A239" s="2"/>
      <c r="B239" s="1">
        <v>22</v>
      </c>
      <c r="C239">
        <f t="shared" si="9"/>
        <v>666666666.66666663</v>
      </c>
    </row>
    <row r="240" spans="1:3" x14ac:dyDescent="0.35">
      <c r="A240" s="2"/>
      <c r="B240" s="1">
        <v>23</v>
      </c>
      <c r="C240">
        <f t="shared" si="9"/>
        <v>666666666.66666663</v>
      </c>
    </row>
    <row r="241" spans="1:3" x14ac:dyDescent="0.35">
      <c r="A241" s="2"/>
      <c r="B241" s="1">
        <v>24</v>
      </c>
      <c r="C241">
        <f t="shared" si="9"/>
        <v>666666666.66666663</v>
      </c>
    </row>
    <row r="242" spans="1:3" x14ac:dyDescent="0.35">
      <c r="A242" s="2" t="s">
        <v>20</v>
      </c>
      <c r="B242" s="1">
        <v>1</v>
      </c>
      <c r="C242">
        <f t="shared" si="9"/>
        <v>666666666.66666663</v>
      </c>
    </row>
    <row r="243" spans="1:3" x14ac:dyDescent="0.35">
      <c r="A243" s="2"/>
      <c r="B243" s="1">
        <v>2</v>
      </c>
      <c r="C243">
        <f t="shared" si="9"/>
        <v>666666666.66666663</v>
      </c>
    </row>
    <row r="244" spans="1:3" x14ac:dyDescent="0.35">
      <c r="A244" s="2"/>
      <c r="B244" s="1">
        <v>3</v>
      </c>
      <c r="C244">
        <f t="shared" si="9"/>
        <v>666666666.66666663</v>
      </c>
    </row>
    <row r="245" spans="1:3" x14ac:dyDescent="0.35">
      <c r="A245" s="2"/>
      <c r="B245" s="1">
        <v>4</v>
      </c>
      <c r="C245">
        <f t="shared" si="9"/>
        <v>666666666.66666663</v>
      </c>
    </row>
    <row r="246" spans="1:3" x14ac:dyDescent="0.35">
      <c r="A246" s="2"/>
      <c r="B246" s="1">
        <v>5</v>
      </c>
      <c r="C246">
        <f t="shared" si="9"/>
        <v>666666666.66666663</v>
      </c>
    </row>
    <row r="247" spans="1:3" x14ac:dyDescent="0.35">
      <c r="A247" s="2"/>
      <c r="B247" s="1">
        <v>6</v>
      </c>
      <c r="C247">
        <f t="shared" si="9"/>
        <v>666666666.66666663</v>
      </c>
    </row>
    <row r="248" spans="1:3" x14ac:dyDescent="0.35">
      <c r="A248" s="2"/>
      <c r="B248" s="1">
        <v>7</v>
      </c>
      <c r="C248">
        <f t="shared" si="9"/>
        <v>666666666.66666663</v>
      </c>
    </row>
    <row r="249" spans="1:3" x14ac:dyDescent="0.35">
      <c r="A249" s="2"/>
      <c r="B249" s="1">
        <v>8</v>
      </c>
      <c r="C249">
        <f t="shared" si="9"/>
        <v>666666666.66666663</v>
      </c>
    </row>
    <row r="250" spans="1:3" x14ac:dyDescent="0.35">
      <c r="A250" s="2"/>
      <c r="B250" s="1">
        <v>9</v>
      </c>
      <c r="C250">
        <f t="shared" si="9"/>
        <v>666666666.66666663</v>
      </c>
    </row>
    <row r="251" spans="1:3" x14ac:dyDescent="0.35">
      <c r="A251" s="2"/>
      <c r="B251" s="1">
        <v>10</v>
      </c>
      <c r="C251">
        <f t="shared" si="9"/>
        <v>666666666.66666663</v>
      </c>
    </row>
    <row r="252" spans="1:3" x14ac:dyDescent="0.35">
      <c r="A252" s="2"/>
      <c r="B252" s="1">
        <v>11</v>
      </c>
      <c r="C252">
        <f t="shared" si="9"/>
        <v>666666666.66666663</v>
      </c>
    </row>
    <row r="253" spans="1:3" x14ac:dyDescent="0.35">
      <c r="A253" s="2"/>
      <c r="B253" s="1">
        <v>12</v>
      </c>
      <c r="C253">
        <f t="shared" si="9"/>
        <v>666666666.66666663</v>
      </c>
    </row>
    <row r="254" spans="1:3" x14ac:dyDescent="0.35">
      <c r="A254" s="2"/>
      <c r="B254" s="1">
        <v>13</v>
      </c>
      <c r="C254">
        <f t="shared" si="9"/>
        <v>666666666.66666663</v>
      </c>
    </row>
    <row r="255" spans="1:3" x14ac:dyDescent="0.35">
      <c r="A255" s="2"/>
      <c r="B255" s="1">
        <v>14</v>
      </c>
      <c r="C255">
        <f t="shared" si="9"/>
        <v>666666666.66666663</v>
      </c>
    </row>
    <row r="256" spans="1:3" x14ac:dyDescent="0.35">
      <c r="A256" s="2"/>
      <c r="B256" s="1">
        <v>15</v>
      </c>
      <c r="C256">
        <f t="shared" si="9"/>
        <v>666666666.66666663</v>
      </c>
    </row>
    <row r="257" spans="1:3" x14ac:dyDescent="0.35">
      <c r="A257" s="2"/>
      <c r="B257" s="1">
        <v>16</v>
      </c>
      <c r="C257">
        <f t="shared" si="9"/>
        <v>666666666.66666663</v>
      </c>
    </row>
    <row r="258" spans="1:3" x14ac:dyDescent="0.35">
      <c r="A258" s="2"/>
      <c r="B258" s="1">
        <v>17</v>
      </c>
      <c r="C258">
        <f t="shared" si="9"/>
        <v>666666666.66666663</v>
      </c>
    </row>
    <row r="259" spans="1:3" x14ac:dyDescent="0.35">
      <c r="A259" s="2"/>
      <c r="B259" s="1">
        <v>18</v>
      </c>
      <c r="C259">
        <f t="shared" si="9"/>
        <v>666666666.66666663</v>
      </c>
    </row>
    <row r="260" spans="1:3" x14ac:dyDescent="0.35">
      <c r="A260" s="2"/>
      <c r="B260" s="1">
        <v>19</v>
      </c>
      <c r="C260">
        <f t="shared" si="9"/>
        <v>666666666.66666663</v>
      </c>
    </row>
    <row r="261" spans="1:3" x14ac:dyDescent="0.35">
      <c r="A261" s="2"/>
      <c r="B261" s="1">
        <v>20</v>
      </c>
      <c r="C261">
        <f t="shared" si="9"/>
        <v>666666666.66666663</v>
      </c>
    </row>
    <row r="262" spans="1:3" x14ac:dyDescent="0.35">
      <c r="A262" s="2"/>
      <c r="B262" s="1">
        <v>21</v>
      </c>
      <c r="C262">
        <f t="shared" si="9"/>
        <v>666666666.66666663</v>
      </c>
    </row>
    <row r="263" spans="1:3" x14ac:dyDescent="0.35">
      <c r="A263" s="2"/>
      <c r="B263" s="1">
        <v>22</v>
      </c>
      <c r="C263">
        <f t="shared" si="9"/>
        <v>666666666.66666663</v>
      </c>
    </row>
    <row r="264" spans="1:3" x14ac:dyDescent="0.35">
      <c r="A264" s="2"/>
      <c r="B264" s="1">
        <v>23</v>
      </c>
      <c r="C264">
        <f t="shared" si="9"/>
        <v>666666666.66666663</v>
      </c>
    </row>
    <row r="265" spans="1:3" x14ac:dyDescent="0.35">
      <c r="A265" s="2"/>
      <c r="B265" s="1">
        <v>24</v>
      </c>
      <c r="C265">
        <f t="shared" si="9"/>
        <v>666666666.66666663</v>
      </c>
    </row>
  </sheetData>
  <mergeCells count="11">
    <mergeCell ref="A242:A265"/>
    <mergeCell ref="A26:A49"/>
    <mergeCell ref="A218:A241"/>
    <mergeCell ref="A2:A25"/>
    <mergeCell ref="A122:A145"/>
    <mergeCell ref="A170:A193"/>
    <mergeCell ref="A194:A217"/>
    <mergeCell ref="A74:A97"/>
    <mergeCell ref="A50:A73"/>
    <mergeCell ref="A98:A121"/>
    <mergeCell ref="A146:A16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4"/>
  <sheetViews>
    <sheetView workbookViewId="0">
      <selection activeCell="D4" sqref="D4:D14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</v>
      </c>
      <c r="C4">
        <v>1</v>
      </c>
      <c r="D4">
        <v>0.8</v>
      </c>
      <c r="E4">
        <v>1</v>
      </c>
    </row>
    <row r="5" spans="1:5" x14ac:dyDescent="0.35">
      <c r="A5" s="1" t="s">
        <v>11</v>
      </c>
      <c r="B5">
        <v>1</v>
      </c>
      <c r="C5">
        <v>1</v>
      </c>
      <c r="D5">
        <v>0.8</v>
      </c>
      <c r="E5">
        <v>1</v>
      </c>
    </row>
    <row r="6" spans="1:5" x14ac:dyDescent="0.35">
      <c r="A6" s="1" t="s">
        <v>12</v>
      </c>
      <c r="B6">
        <v>1</v>
      </c>
      <c r="C6">
        <v>1</v>
      </c>
      <c r="D6">
        <v>0.8</v>
      </c>
      <c r="E6">
        <v>1</v>
      </c>
    </row>
    <row r="7" spans="1:5" x14ac:dyDescent="0.35">
      <c r="A7" s="1" t="s">
        <v>13</v>
      </c>
      <c r="B7">
        <v>1</v>
      </c>
      <c r="C7">
        <v>1</v>
      </c>
      <c r="D7">
        <v>0.8</v>
      </c>
      <c r="E7">
        <v>1</v>
      </c>
    </row>
    <row r="8" spans="1:5" x14ac:dyDescent="0.35">
      <c r="A8" s="1" t="s">
        <v>14</v>
      </c>
      <c r="B8">
        <v>1</v>
      </c>
      <c r="C8">
        <v>1</v>
      </c>
      <c r="D8">
        <v>0.8</v>
      </c>
      <c r="E8">
        <v>1</v>
      </c>
    </row>
    <row r="9" spans="1:5" x14ac:dyDescent="0.35">
      <c r="A9" s="1" t="s">
        <v>15</v>
      </c>
      <c r="B9">
        <v>1</v>
      </c>
      <c r="C9">
        <v>1</v>
      </c>
      <c r="D9">
        <v>0.8</v>
      </c>
      <c r="E9">
        <v>1</v>
      </c>
    </row>
    <row r="10" spans="1:5" x14ac:dyDescent="0.35">
      <c r="A10" s="1" t="s">
        <v>16</v>
      </c>
      <c r="B10">
        <v>1</v>
      </c>
      <c r="C10">
        <v>1</v>
      </c>
      <c r="D10">
        <v>0.8</v>
      </c>
      <c r="E10">
        <v>1</v>
      </c>
    </row>
    <row r="11" spans="1:5" x14ac:dyDescent="0.35">
      <c r="A11" s="1" t="s">
        <v>17</v>
      </c>
      <c r="B11">
        <v>1</v>
      </c>
      <c r="C11">
        <v>1</v>
      </c>
      <c r="D11">
        <v>0.8</v>
      </c>
      <c r="E11">
        <v>1</v>
      </c>
    </row>
    <row r="12" spans="1:5" x14ac:dyDescent="0.35">
      <c r="A12" s="1" t="s">
        <v>18</v>
      </c>
      <c r="B12">
        <v>1</v>
      </c>
      <c r="C12">
        <v>1</v>
      </c>
      <c r="D12">
        <v>0.8</v>
      </c>
      <c r="E12">
        <v>1</v>
      </c>
    </row>
    <row r="13" spans="1:5" x14ac:dyDescent="0.35">
      <c r="A13" s="1" t="s">
        <v>19</v>
      </c>
      <c r="B13">
        <v>1</v>
      </c>
      <c r="C13">
        <v>1</v>
      </c>
      <c r="D13">
        <v>0.8</v>
      </c>
      <c r="E13">
        <v>1</v>
      </c>
    </row>
    <row r="14" spans="1:5" x14ac:dyDescent="0.35">
      <c r="A14" s="1" t="s">
        <v>20</v>
      </c>
      <c r="B14">
        <v>1</v>
      </c>
      <c r="C14">
        <v>1</v>
      </c>
      <c r="D14">
        <v>0.8</v>
      </c>
      <c r="E14">
        <v>1</v>
      </c>
    </row>
  </sheetData>
  <mergeCells count="1">
    <mergeCell ref="B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  <row r="14" spans="1:5" x14ac:dyDescent="0.35">
      <c r="A14" s="1" t="s">
        <v>20</v>
      </c>
      <c r="B14">
        <v>0</v>
      </c>
      <c r="C14">
        <v>0</v>
      </c>
      <c r="D14">
        <v>0</v>
      </c>
      <c r="E14">
        <v>0</v>
      </c>
    </row>
  </sheetData>
  <mergeCells count="1">
    <mergeCell ref="B1:C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</v>
      </c>
      <c r="C4">
        <v>1</v>
      </c>
      <c r="D4">
        <v>1</v>
      </c>
      <c r="E4">
        <v>1</v>
      </c>
    </row>
    <row r="5" spans="1:5" x14ac:dyDescent="0.35">
      <c r="A5" s="1" t="s">
        <v>11</v>
      </c>
      <c r="B5">
        <v>1</v>
      </c>
      <c r="C5">
        <v>1</v>
      </c>
      <c r="D5">
        <v>1</v>
      </c>
      <c r="E5">
        <v>1</v>
      </c>
    </row>
    <row r="6" spans="1:5" x14ac:dyDescent="0.35">
      <c r="A6" s="1" t="s">
        <v>12</v>
      </c>
      <c r="B6">
        <v>1</v>
      </c>
      <c r="C6">
        <v>1</v>
      </c>
      <c r="D6">
        <v>1</v>
      </c>
      <c r="E6">
        <v>1</v>
      </c>
    </row>
    <row r="7" spans="1:5" x14ac:dyDescent="0.35">
      <c r="A7" s="1" t="s">
        <v>13</v>
      </c>
      <c r="B7">
        <v>1</v>
      </c>
      <c r="C7">
        <v>1</v>
      </c>
      <c r="D7">
        <v>1</v>
      </c>
      <c r="E7">
        <v>1</v>
      </c>
    </row>
    <row r="8" spans="1:5" x14ac:dyDescent="0.35">
      <c r="A8" s="1" t="s">
        <v>14</v>
      </c>
      <c r="B8">
        <v>1</v>
      </c>
      <c r="C8">
        <v>1</v>
      </c>
      <c r="D8">
        <v>1</v>
      </c>
      <c r="E8">
        <v>1</v>
      </c>
    </row>
    <row r="9" spans="1:5" x14ac:dyDescent="0.35">
      <c r="A9" s="1" t="s">
        <v>15</v>
      </c>
      <c r="B9">
        <v>1</v>
      </c>
      <c r="C9">
        <v>1</v>
      </c>
      <c r="D9">
        <v>1</v>
      </c>
      <c r="E9">
        <v>1</v>
      </c>
    </row>
    <row r="10" spans="1:5" x14ac:dyDescent="0.35">
      <c r="A10" s="1" t="s">
        <v>16</v>
      </c>
      <c r="B10">
        <v>1</v>
      </c>
      <c r="C10">
        <v>1</v>
      </c>
      <c r="D10">
        <v>1</v>
      </c>
      <c r="E10">
        <v>1</v>
      </c>
    </row>
    <row r="11" spans="1:5" x14ac:dyDescent="0.35">
      <c r="A11" s="1" t="s">
        <v>17</v>
      </c>
      <c r="B11">
        <v>1</v>
      </c>
      <c r="C11">
        <v>1</v>
      </c>
      <c r="D11">
        <v>1</v>
      </c>
      <c r="E11">
        <v>1</v>
      </c>
    </row>
    <row r="12" spans="1:5" x14ac:dyDescent="0.35">
      <c r="A12" s="1" t="s">
        <v>18</v>
      </c>
      <c r="B12">
        <v>1</v>
      </c>
      <c r="C12">
        <v>1</v>
      </c>
      <c r="D12">
        <v>1</v>
      </c>
      <c r="E12">
        <v>1</v>
      </c>
    </row>
    <row r="13" spans="1:5" x14ac:dyDescent="0.35">
      <c r="A13" s="1" t="s">
        <v>19</v>
      </c>
      <c r="B13">
        <v>1</v>
      </c>
      <c r="C13">
        <v>1</v>
      </c>
      <c r="D13">
        <v>1</v>
      </c>
      <c r="E13">
        <v>1</v>
      </c>
    </row>
    <row r="14" spans="1:5" x14ac:dyDescent="0.35">
      <c r="A14" s="1" t="s">
        <v>20</v>
      </c>
      <c r="B14">
        <v>1</v>
      </c>
      <c r="C14">
        <v>1</v>
      </c>
      <c r="D14">
        <v>1</v>
      </c>
      <c r="E14">
        <v>1</v>
      </c>
    </row>
  </sheetData>
  <mergeCells count="1">
    <mergeCell ref="B1:C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67"/>
  <sheetViews>
    <sheetView workbookViewId="0">
      <selection activeCell="D4" sqref="D4:D267"/>
    </sheetView>
  </sheetViews>
  <sheetFormatPr defaultRowHeight="14.5" x14ac:dyDescent="0.35"/>
  <sheetData>
    <row r="1" spans="1:6" x14ac:dyDescent="0.35">
      <c r="B1" s="1" t="s">
        <v>0</v>
      </c>
      <c r="C1" s="2" t="s">
        <v>1</v>
      </c>
      <c r="D1" s="2"/>
      <c r="E1" s="1" t="s">
        <v>2</v>
      </c>
      <c r="F1" s="1" t="s">
        <v>3</v>
      </c>
    </row>
    <row r="2" spans="1:6" x14ac:dyDescent="0.35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6" x14ac:dyDescent="0.35">
      <c r="A3" s="1" t="s">
        <v>9</v>
      </c>
      <c r="B3" s="1" t="s">
        <v>35</v>
      </c>
    </row>
    <row r="4" spans="1:6" x14ac:dyDescent="0.35">
      <c r="A4" s="2" t="s">
        <v>10</v>
      </c>
      <c r="B4" s="1">
        <v>1</v>
      </c>
      <c r="C4">
        <v>1</v>
      </c>
      <c r="D4">
        <v>0.2</v>
      </c>
      <c r="E4">
        <v>1</v>
      </c>
      <c r="F4">
        <v>1</v>
      </c>
    </row>
    <row r="5" spans="1:6" x14ac:dyDescent="0.35">
      <c r="A5" s="2"/>
      <c r="B5" s="1">
        <v>2</v>
      </c>
      <c r="C5">
        <v>1</v>
      </c>
      <c r="D5">
        <v>0.2</v>
      </c>
      <c r="E5">
        <v>1</v>
      </c>
      <c r="F5">
        <v>1</v>
      </c>
    </row>
    <row r="6" spans="1:6" x14ac:dyDescent="0.35">
      <c r="A6" s="2"/>
      <c r="B6" s="1">
        <v>3</v>
      </c>
      <c r="C6">
        <v>1</v>
      </c>
      <c r="D6">
        <v>0.2</v>
      </c>
      <c r="E6">
        <v>1</v>
      </c>
      <c r="F6">
        <v>1</v>
      </c>
    </row>
    <row r="7" spans="1:6" x14ac:dyDescent="0.35">
      <c r="A7" s="2"/>
      <c r="B7" s="1">
        <v>4</v>
      </c>
      <c r="C7">
        <v>1</v>
      </c>
      <c r="D7">
        <v>0.2</v>
      </c>
      <c r="E7">
        <v>1</v>
      </c>
      <c r="F7">
        <v>1</v>
      </c>
    </row>
    <row r="8" spans="1:6" x14ac:dyDescent="0.35">
      <c r="A8" s="2"/>
      <c r="B8" s="1">
        <v>5</v>
      </c>
      <c r="C8">
        <v>1</v>
      </c>
      <c r="D8">
        <v>0.2</v>
      </c>
      <c r="E8">
        <v>1</v>
      </c>
      <c r="F8">
        <v>1</v>
      </c>
    </row>
    <row r="9" spans="1:6" x14ac:dyDescent="0.35">
      <c r="A9" s="2"/>
      <c r="B9" s="1">
        <v>6</v>
      </c>
      <c r="C9">
        <v>1</v>
      </c>
      <c r="D9">
        <v>0.2</v>
      </c>
      <c r="E9">
        <v>1</v>
      </c>
      <c r="F9">
        <v>1</v>
      </c>
    </row>
    <row r="10" spans="1:6" x14ac:dyDescent="0.35">
      <c r="A10" s="2"/>
      <c r="B10" s="1">
        <v>7</v>
      </c>
      <c r="C10">
        <v>1</v>
      </c>
      <c r="D10">
        <v>0.2</v>
      </c>
      <c r="E10">
        <v>1</v>
      </c>
      <c r="F10">
        <v>1</v>
      </c>
    </row>
    <row r="11" spans="1:6" x14ac:dyDescent="0.35">
      <c r="A11" s="2"/>
      <c r="B11" s="1">
        <v>8</v>
      </c>
      <c r="C11">
        <v>1</v>
      </c>
      <c r="D11">
        <v>0.2</v>
      </c>
      <c r="E11">
        <v>1</v>
      </c>
      <c r="F11">
        <v>1</v>
      </c>
    </row>
    <row r="12" spans="1:6" x14ac:dyDescent="0.35">
      <c r="A12" s="2"/>
      <c r="B12" s="1">
        <v>9</v>
      </c>
      <c r="C12">
        <v>1</v>
      </c>
      <c r="D12">
        <v>0.2</v>
      </c>
      <c r="E12">
        <v>1</v>
      </c>
      <c r="F12">
        <v>1</v>
      </c>
    </row>
    <row r="13" spans="1:6" x14ac:dyDescent="0.35">
      <c r="A13" s="2"/>
      <c r="B13" s="1">
        <v>10</v>
      </c>
      <c r="C13">
        <v>1</v>
      </c>
      <c r="D13">
        <v>0.2</v>
      </c>
      <c r="E13">
        <v>1</v>
      </c>
      <c r="F13">
        <v>1</v>
      </c>
    </row>
    <row r="14" spans="1:6" x14ac:dyDescent="0.35">
      <c r="A14" s="2"/>
      <c r="B14" s="1">
        <v>11</v>
      </c>
      <c r="C14">
        <v>1</v>
      </c>
      <c r="D14">
        <v>0.2</v>
      </c>
      <c r="E14">
        <v>1</v>
      </c>
      <c r="F14">
        <v>1</v>
      </c>
    </row>
    <row r="15" spans="1:6" x14ac:dyDescent="0.35">
      <c r="A15" s="2"/>
      <c r="B15" s="1">
        <v>12</v>
      </c>
      <c r="C15">
        <v>1</v>
      </c>
      <c r="D15">
        <v>0.2</v>
      </c>
      <c r="E15">
        <v>1</v>
      </c>
      <c r="F15">
        <v>1</v>
      </c>
    </row>
    <row r="16" spans="1:6" x14ac:dyDescent="0.35">
      <c r="A16" s="2"/>
      <c r="B16" s="1">
        <v>13</v>
      </c>
      <c r="C16">
        <v>1</v>
      </c>
      <c r="D16">
        <v>0.2</v>
      </c>
      <c r="E16">
        <v>1</v>
      </c>
      <c r="F16">
        <v>1</v>
      </c>
    </row>
    <row r="17" spans="1:6" x14ac:dyDescent="0.35">
      <c r="A17" s="2"/>
      <c r="B17" s="1">
        <v>14</v>
      </c>
      <c r="C17">
        <v>1</v>
      </c>
      <c r="D17">
        <v>0.2</v>
      </c>
      <c r="E17">
        <v>1</v>
      </c>
      <c r="F17">
        <v>1</v>
      </c>
    </row>
    <row r="18" spans="1:6" x14ac:dyDescent="0.35">
      <c r="A18" s="2"/>
      <c r="B18" s="1">
        <v>15</v>
      </c>
      <c r="C18">
        <v>1</v>
      </c>
      <c r="D18">
        <v>0.2</v>
      </c>
      <c r="E18">
        <v>1</v>
      </c>
      <c r="F18">
        <v>1</v>
      </c>
    </row>
    <row r="19" spans="1:6" x14ac:dyDescent="0.35">
      <c r="A19" s="2"/>
      <c r="B19" s="1">
        <v>16</v>
      </c>
      <c r="C19">
        <v>1</v>
      </c>
      <c r="D19">
        <v>0.2</v>
      </c>
      <c r="E19">
        <v>1</v>
      </c>
      <c r="F19">
        <v>1</v>
      </c>
    </row>
    <row r="20" spans="1:6" x14ac:dyDescent="0.35">
      <c r="A20" s="2"/>
      <c r="B20" s="1">
        <v>17</v>
      </c>
      <c r="C20">
        <v>1</v>
      </c>
      <c r="D20">
        <v>0.2</v>
      </c>
      <c r="E20">
        <v>1</v>
      </c>
      <c r="F20">
        <v>1</v>
      </c>
    </row>
    <row r="21" spans="1:6" x14ac:dyDescent="0.35">
      <c r="A21" s="2"/>
      <c r="B21" s="1">
        <v>18</v>
      </c>
      <c r="C21">
        <v>1</v>
      </c>
      <c r="D21">
        <v>0.2</v>
      </c>
      <c r="E21">
        <v>1</v>
      </c>
      <c r="F21">
        <v>1</v>
      </c>
    </row>
    <row r="22" spans="1:6" x14ac:dyDescent="0.35">
      <c r="A22" s="2"/>
      <c r="B22" s="1">
        <v>19</v>
      </c>
      <c r="C22">
        <v>1</v>
      </c>
      <c r="D22">
        <v>0.2</v>
      </c>
      <c r="E22">
        <v>1</v>
      </c>
      <c r="F22">
        <v>1</v>
      </c>
    </row>
    <row r="23" spans="1:6" x14ac:dyDescent="0.35">
      <c r="A23" s="2"/>
      <c r="B23" s="1">
        <v>20</v>
      </c>
      <c r="C23">
        <v>1</v>
      </c>
      <c r="D23">
        <v>0.2</v>
      </c>
      <c r="E23">
        <v>1</v>
      </c>
      <c r="F23">
        <v>1</v>
      </c>
    </row>
    <row r="24" spans="1:6" x14ac:dyDescent="0.35">
      <c r="A24" s="2"/>
      <c r="B24" s="1">
        <v>21</v>
      </c>
      <c r="C24">
        <v>1</v>
      </c>
      <c r="D24">
        <v>0.2</v>
      </c>
      <c r="E24">
        <v>1</v>
      </c>
      <c r="F24">
        <v>1</v>
      </c>
    </row>
    <row r="25" spans="1:6" x14ac:dyDescent="0.35">
      <c r="A25" s="2"/>
      <c r="B25" s="1">
        <v>22</v>
      </c>
      <c r="C25">
        <v>1</v>
      </c>
      <c r="D25">
        <v>0.2</v>
      </c>
      <c r="E25">
        <v>1</v>
      </c>
      <c r="F25">
        <v>1</v>
      </c>
    </row>
    <row r="26" spans="1:6" x14ac:dyDescent="0.35">
      <c r="A26" s="2"/>
      <c r="B26" s="1">
        <v>23</v>
      </c>
      <c r="C26">
        <v>1</v>
      </c>
      <c r="D26">
        <v>0.2</v>
      </c>
      <c r="E26">
        <v>1</v>
      </c>
      <c r="F26">
        <v>1</v>
      </c>
    </row>
    <row r="27" spans="1:6" x14ac:dyDescent="0.35">
      <c r="A27" s="2"/>
      <c r="B27" s="1">
        <v>24</v>
      </c>
      <c r="C27">
        <v>1</v>
      </c>
      <c r="D27">
        <v>0.2</v>
      </c>
      <c r="E27">
        <v>1</v>
      </c>
      <c r="F27">
        <v>1</v>
      </c>
    </row>
    <row r="28" spans="1:6" x14ac:dyDescent="0.35">
      <c r="A28" s="2" t="s">
        <v>11</v>
      </c>
      <c r="B28" s="1">
        <v>1</v>
      </c>
      <c r="C28">
        <v>1</v>
      </c>
      <c r="D28">
        <v>0.2</v>
      </c>
      <c r="E28">
        <v>1</v>
      </c>
      <c r="F28">
        <v>1</v>
      </c>
    </row>
    <row r="29" spans="1:6" x14ac:dyDescent="0.35">
      <c r="A29" s="2"/>
      <c r="B29" s="1">
        <v>2</v>
      </c>
      <c r="C29">
        <v>1</v>
      </c>
      <c r="D29">
        <v>0.2</v>
      </c>
      <c r="E29">
        <v>1</v>
      </c>
      <c r="F29">
        <v>1</v>
      </c>
    </row>
    <row r="30" spans="1:6" x14ac:dyDescent="0.35">
      <c r="A30" s="2"/>
      <c r="B30" s="1">
        <v>3</v>
      </c>
      <c r="C30">
        <v>1</v>
      </c>
      <c r="D30">
        <v>0.2</v>
      </c>
      <c r="E30">
        <v>1</v>
      </c>
      <c r="F30">
        <v>1</v>
      </c>
    </row>
    <row r="31" spans="1:6" x14ac:dyDescent="0.35">
      <c r="A31" s="2"/>
      <c r="B31" s="1">
        <v>4</v>
      </c>
      <c r="C31">
        <v>1</v>
      </c>
      <c r="D31">
        <v>0.2</v>
      </c>
      <c r="E31">
        <v>1</v>
      </c>
      <c r="F31">
        <v>1</v>
      </c>
    </row>
    <row r="32" spans="1:6" x14ac:dyDescent="0.35">
      <c r="A32" s="2"/>
      <c r="B32" s="1">
        <v>5</v>
      </c>
      <c r="C32">
        <v>1</v>
      </c>
      <c r="D32">
        <v>0.2</v>
      </c>
      <c r="E32">
        <v>1</v>
      </c>
      <c r="F32">
        <v>1</v>
      </c>
    </row>
    <row r="33" spans="1:6" x14ac:dyDescent="0.35">
      <c r="A33" s="2"/>
      <c r="B33" s="1">
        <v>6</v>
      </c>
      <c r="C33">
        <v>1</v>
      </c>
      <c r="D33">
        <v>0.2</v>
      </c>
      <c r="E33">
        <v>1</v>
      </c>
      <c r="F33">
        <v>1</v>
      </c>
    </row>
    <row r="34" spans="1:6" x14ac:dyDescent="0.35">
      <c r="A34" s="2"/>
      <c r="B34" s="1">
        <v>7</v>
      </c>
      <c r="C34">
        <v>1</v>
      </c>
      <c r="D34">
        <v>0.2</v>
      </c>
      <c r="E34">
        <v>1</v>
      </c>
      <c r="F34">
        <v>1</v>
      </c>
    </row>
    <row r="35" spans="1:6" x14ac:dyDescent="0.35">
      <c r="A35" s="2"/>
      <c r="B35" s="1">
        <v>8</v>
      </c>
      <c r="C35">
        <v>1</v>
      </c>
      <c r="D35">
        <v>0.2</v>
      </c>
      <c r="E35">
        <v>1</v>
      </c>
      <c r="F35">
        <v>1</v>
      </c>
    </row>
    <row r="36" spans="1:6" x14ac:dyDescent="0.35">
      <c r="A36" s="2"/>
      <c r="B36" s="1">
        <v>9</v>
      </c>
      <c r="C36">
        <v>1</v>
      </c>
      <c r="D36">
        <v>0.2</v>
      </c>
      <c r="E36">
        <v>1</v>
      </c>
      <c r="F36">
        <v>1</v>
      </c>
    </row>
    <row r="37" spans="1:6" x14ac:dyDescent="0.35">
      <c r="A37" s="2"/>
      <c r="B37" s="1">
        <v>10</v>
      </c>
      <c r="C37">
        <v>1</v>
      </c>
      <c r="D37">
        <v>0.2</v>
      </c>
      <c r="E37">
        <v>1</v>
      </c>
      <c r="F37">
        <v>1</v>
      </c>
    </row>
    <row r="38" spans="1:6" x14ac:dyDescent="0.35">
      <c r="A38" s="2"/>
      <c r="B38" s="1">
        <v>11</v>
      </c>
      <c r="C38">
        <v>1</v>
      </c>
      <c r="D38">
        <v>0.2</v>
      </c>
      <c r="E38">
        <v>1</v>
      </c>
      <c r="F38">
        <v>1</v>
      </c>
    </row>
    <row r="39" spans="1:6" x14ac:dyDescent="0.35">
      <c r="A39" s="2"/>
      <c r="B39" s="1">
        <v>12</v>
      </c>
      <c r="C39">
        <v>1</v>
      </c>
      <c r="D39">
        <v>0.2</v>
      </c>
      <c r="E39">
        <v>1</v>
      </c>
      <c r="F39">
        <v>1</v>
      </c>
    </row>
    <row r="40" spans="1:6" x14ac:dyDescent="0.35">
      <c r="A40" s="2"/>
      <c r="B40" s="1">
        <v>13</v>
      </c>
      <c r="C40">
        <v>1</v>
      </c>
      <c r="D40">
        <v>0.2</v>
      </c>
      <c r="E40">
        <v>1</v>
      </c>
      <c r="F40">
        <v>1</v>
      </c>
    </row>
    <row r="41" spans="1:6" x14ac:dyDescent="0.35">
      <c r="A41" s="2"/>
      <c r="B41" s="1">
        <v>14</v>
      </c>
      <c r="C41">
        <v>1</v>
      </c>
      <c r="D41">
        <v>0.2</v>
      </c>
      <c r="E41">
        <v>1</v>
      </c>
      <c r="F41">
        <v>1</v>
      </c>
    </row>
    <row r="42" spans="1:6" x14ac:dyDescent="0.35">
      <c r="A42" s="2"/>
      <c r="B42" s="1">
        <v>15</v>
      </c>
      <c r="C42">
        <v>1</v>
      </c>
      <c r="D42">
        <v>0.2</v>
      </c>
      <c r="E42">
        <v>1</v>
      </c>
      <c r="F42">
        <v>1</v>
      </c>
    </row>
    <row r="43" spans="1:6" x14ac:dyDescent="0.35">
      <c r="A43" s="2"/>
      <c r="B43" s="1">
        <v>16</v>
      </c>
      <c r="C43">
        <v>1</v>
      </c>
      <c r="D43">
        <v>0.2</v>
      </c>
      <c r="E43">
        <v>1</v>
      </c>
      <c r="F43">
        <v>1</v>
      </c>
    </row>
    <row r="44" spans="1:6" x14ac:dyDescent="0.35">
      <c r="A44" s="2"/>
      <c r="B44" s="1">
        <v>17</v>
      </c>
      <c r="C44">
        <v>1</v>
      </c>
      <c r="D44">
        <v>0.2</v>
      </c>
      <c r="E44">
        <v>1</v>
      </c>
      <c r="F44">
        <v>1</v>
      </c>
    </row>
    <row r="45" spans="1:6" x14ac:dyDescent="0.35">
      <c r="A45" s="2"/>
      <c r="B45" s="1">
        <v>18</v>
      </c>
      <c r="C45">
        <v>1</v>
      </c>
      <c r="D45">
        <v>0.2</v>
      </c>
      <c r="E45">
        <v>1</v>
      </c>
      <c r="F45">
        <v>1</v>
      </c>
    </row>
    <row r="46" spans="1:6" x14ac:dyDescent="0.35">
      <c r="A46" s="2"/>
      <c r="B46" s="1">
        <v>19</v>
      </c>
      <c r="C46">
        <v>1</v>
      </c>
      <c r="D46">
        <v>0.2</v>
      </c>
      <c r="E46">
        <v>1</v>
      </c>
      <c r="F46">
        <v>1</v>
      </c>
    </row>
    <row r="47" spans="1:6" x14ac:dyDescent="0.35">
      <c r="A47" s="2"/>
      <c r="B47" s="1">
        <v>20</v>
      </c>
      <c r="C47">
        <v>1</v>
      </c>
      <c r="D47">
        <v>0.2</v>
      </c>
      <c r="E47">
        <v>1</v>
      </c>
      <c r="F47">
        <v>1</v>
      </c>
    </row>
    <row r="48" spans="1:6" x14ac:dyDescent="0.35">
      <c r="A48" s="2"/>
      <c r="B48" s="1">
        <v>21</v>
      </c>
      <c r="C48">
        <v>1</v>
      </c>
      <c r="D48">
        <v>0.2</v>
      </c>
      <c r="E48">
        <v>1</v>
      </c>
      <c r="F48">
        <v>1</v>
      </c>
    </row>
    <row r="49" spans="1:6" x14ac:dyDescent="0.35">
      <c r="A49" s="2"/>
      <c r="B49" s="1">
        <v>22</v>
      </c>
      <c r="C49">
        <v>1</v>
      </c>
      <c r="D49">
        <v>0.2</v>
      </c>
      <c r="E49">
        <v>1</v>
      </c>
      <c r="F49">
        <v>1</v>
      </c>
    </row>
    <row r="50" spans="1:6" x14ac:dyDescent="0.35">
      <c r="A50" s="2"/>
      <c r="B50" s="1">
        <v>23</v>
      </c>
      <c r="C50">
        <v>1</v>
      </c>
      <c r="D50">
        <v>0.2</v>
      </c>
      <c r="E50">
        <v>1</v>
      </c>
      <c r="F50">
        <v>1</v>
      </c>
    </row>
    <row r="51" spans="1:6" x14ac:dyDescent="0.35">
      <c r="A51" s="2"/>
      <c r="B51" s="1">
        <v>24</v>
      </c>
      <c r="C51">
        <v>1</v>
      </c>
      <c r="D51">
        <v>0.2</v>
      </c>
      <c r="E51">
        <v>1</v>
      </c>
      <c r="F51">
        <v>1</v>
      </c>
    </row>
    <row r="52" spans="1:6" x14ac:dyDescent="0.35">
      <c r="A52" s="2" t="s">
        <v>12</v>
      </c>
      <c r="B52" s="1">
        <v>1</v>
      </c>
      <c r="C52">
        <v>1</v>
      </c>
      <c r="D52">
        <v>0.2</v>
      </c>
      <c r="E52">
        <v>1</v>
      </c>
      <c r="F52">
        <v>1</v>
      </c>
    </row>
    <row r="53" spans="1:6" x14ac:dyDescent="0.35">
      <c r="A53" s="2"/>
      <c r="B53" s="1">
        <v>2</v>
      </c>
      <c r="C53">
        <v>1</v>
      </c>
      <c r="D53">
        <v>0.2</v>
      </c>
      <c r="E53">
        <v>1</v>
      </c>
      <c r="F53">
        <v>1</v>
      </c>
    </row>
    <row r="54" spans="1:6" x14ac:dyDescent="0.35">
      <c r="A54" s="2"/>
      <c r="B54" s="1">
        <v>3</v>
      </c>
      <c r="C54">
        <v>1</v>
      </c>
      <c r="D54">
        <v>0.2</v>
      </c>
      <c r="E54">
        <v>1</v>
      </c>
      <c r="F54">
        <v>1</v>
      </c>
    </row>
    <row r="55" spans="1:6" x14ac:dyDescent="0.35">
      <c r="A55" s="2"/>
      <c r="B55" s="1">
        <v>4</v>
      </c>
      <c r="C55">
        <v>1</v>
      </c>
      <c r="D55">
        <v>0.2</v>
      </c>
      <c r="E55">
        <v>1</v>
      </c>
      <c r="F55">
        <v>1</v>
      </c>
    </row>
    <row r="56" spans="1:6" x14ac:dyDescent="0.35">
      <c r="A56" s="2"/>
      <c r="B56" s="1">
        <v>5</v>
      </c>
      <c r="C56">
        <v>1</v>
      </c>
      <c r="D56">
        <v>0.2</v>
      </c>
      <c r="E56">
        <v>1</v>
      </c>
      <c r="F56">
        <v>1</v>
      </c>
    </row>
    <row r="57" spans="1:6" x14ac:dyDescent="0.35">
      <c r="A57" s="2"/>
      <c r="B57" s="1">
        <v>6</v>
      </c>
      <c r="C57">
        <v>1</v>
      </c>
      <c r="D57">
        <v>0.2</v>
      </c>
      <c r="E57">
        <v>1</v>
      </c>
      <c r="F57">
        <v>1</v>
      </c>
    </row>
    <row r="58" spans="1:6" x14ac:dyDescent="0.35">
      <c r="A58" s="2"/>
      <c r="B58" s="1">
        <v>7</v>
      </c>
      <c r="C58">
        <v>1</v>
      </c>
      <c r="D58">
        <v>0.2</v>
      </c>
      <c r="E58">
        <v>1</v>
      </c>
      <c r="F58">
        <v>1</v>
      </c>
    </row>
    <row r="59" spans="1:6" x14ac:dyDescent="0.35">
      <c r="A59" s="2"/>
      <c r="B59" s="1">
        <v>8</v>
      </c>
      <c r="C59">
        <v>1</v>
      </c>
      <c r="D59">
        <v>0.2</v>
      </c>
      <c r="E59">
        <v>1</v>
      </c>
      <c r="F59">
        <v>1</v>
      </c>
    </row>
    <row r="60" spans="1:6" x14ac:dyDescent="0.35">
      <c r="A60" s="2"/>
      <c r="B60" s="1">
        <v>9</v>
      </c>
      <c r="C60">
        <v>1</v>
      </c>
      <c r="D60">
        <v>0.2</v>
      </c>
      <c r="E60">
        <v>1</v>
      </c>
      <c r="F60">
        <v>1</v>
      </c>
    </row>
    <row r="61" spans="1:6" x14ac:dyDescent="0.35">
      <c r="A61" s="2"/>
      <c r="B61" s="1">
        <v>10</v>
      </c>
      <c r="C61">
        <v>1</v>
      </c>
      <c r="D61">
        <v>0.2</v>
      </c>
      <c r="E61">
        <v>1</v>
      </c>
      <c r="F61">
        <v>1</v>
      </c>
    </row>
    <row r="62" spans="1:6" x14ac:dyDescent="0.35">
      <c r="A62" s="2"/>
      <c r="B62" s="1">
        <v>11</v>
      </c>
      <c r="C62">
        <v>1</v>
      </c>
      <c r="D62">
        <v>0.2</v>
      </c>
      <c r="E62">
        <v>1</v>
      </c>
      <c r="F62">
        <v>1</v>
      </c>
    </row>
    <row r="63" spans="1:6" x14ac:dyDescent="0.35">
      <c r="A63" s="2"/>
      <c r="B63" s="1">
        <v>12</v>
      </c>
      <c r="C63">
        <v>1</v>
      </c>
      <c r="D63">
        <v>0.2</v>
      </c>
      <c r="E63">
        <v>1</v>
      </c>
      <c r="F63">
        <v>1</v>
      </c>
    </row>
    <row r="64" spans="1:6" x14ac:dyDescent="0.35">
      <c r="A64" s="2"/>
      <c r="B64" s="1">
        <v>13</v>
      </c>
      <c r="C64">
        <v>1</v>
      </c>
      <c r="D64">
        <v>0.2</v>
      </c>
      <c r="E64">
        <v>1</v>
      </c>
      <c r="F64">
        <v>1</v>
      </c>
    </row>
    <row r="65" spans="1:6" x14ac:dyDescent="0.35">
      <c r="A65" s="2"/>
      <c r="B65" s="1">
        <v>14</v>
      </c>
      <c r="C65">
        <v>1</v>
      </c>
      <c r="D65">
        <v>0.2</v>
      </c>
      <c r="E65">
        <v>1</v>
      </c>
      <c r="F65">
        <v>1</v>
      </c>
    </row>
    <row r="66" spans="1:6" x14ac:dyDescent="0.35">
      <c r="A66" s="2"/>
      <c r="B66" s="1">
        <v>15</v>
      </c>
      <c r="C66">
        <v>1</v>
      </c>
      <c r="D66">
        <v>0.2</v>
      </c>
      <c r="E66">
        <v>1</v>
      </c>
      <c r="F66">
        <v>1</v>
      </c>
    </row>
    <row r="67" spans="1:6" x14ac:dyDescent="0.35">
      <c r="A67" s="2"/>
      <c r="B67" s="1">
        <v>16</v>
      </c>
      <c r="C67">
        <v>1</v>
      </c>
      <c r="D67">
        <v>0.2</v>
      </c>
      <c r="E67">
        <v>1</v>
      </c>
      <c r="F67">
        <v>1</v>
      </c>
    </row>
    <row r="68" spans="1:6" x14ac:dyDescent="0.35">
      <c r="A68" s="2"/>
      <c r="B68" s="1">
        <v>17</v>
      </c>
      <c r="C68">
        <v>1</v>
      </c>
      <c r="D68">
        <v>0.2</v>
      </c>
      <c r="E68">
        <v>1</v>
      </c>
      <c r="F68">
        <v>1</v>
      </c>
    </row>
    <row r="69" spans="1:6" x14ac:dyDescent="0.35">
      <c r="A69" s="2"/>
      <c r="B69" s="1">
        <v>18</v>
      </c>
      <c r="C69">
        <v>1</v>
      </c>
      <c r="D69">
        <v>0.2</v>
      </c>
      <c r="E69">
        <v>1</v>
      </c>
      <c r="F69">
        <v>1</v>
      </c>
    </row>
    <row r="70" spans="1:6" x14ac:dyDescent="0.35">
      <c r="A70" s="2"/>
      <c r="B70" s="1">
        <v>19</v>
      </c>
      <c r="C70">
        <v>1</v>
      </c>
      <c r="D70">
        <v>0.2</v>
      </c>
      <c r="E70">
        <v>1</v>
      </c>
      <c r="F70">
        <v>1</v>
      </c>
    </row>
    <row r="71" spans="1:6" x14ac:dyDescent="0.35">
      <c r="A71" s="2"/>
      <c r="B71" s="1">
        <v>20</v>
      </c>
      <c r="C71">
        <v>1</v>
      </c>
      <c r="D71">
        <v>0.2</v>
      </c>
      <c r="E71">
        <v>1</v>
      </c>
      <c r="F71">
        <v>1</v>
      </c>
    </row>
    <row r="72" spans="1:6" x14ac:dyDescent="0.35">
      <c r="A72" s="2"/>
      <c r="B72" s="1">
        <v>21</v>
      </c>
      <c r="C72">
        <v>1</v>
      </c>
      <c r="D72">
        <v>0.2</v>
      </c>
      <c r="E72">
        <v>1</v>
      </c>
      <c r="F72">
        <v>1</v>
      </c>
    </row>
    <row r="73" spans="1:6" x14ac:dyDescent="0.35">
      <c r="A73" s="2"/>
      <c r="B73" s="1">
        <v>22</v>
      </c>
      <c r="C73">
        <v>1</v>
      </c>
      <c r="D73">
        <v>0.2</v>
      </c>
      <c r="E73">
        <v>1</v>
      </c>
      <c r="F73">
        <v>1</v>
      </c>
    </row>
    <row r="74" spans="1:6" x14ac:dyDescent="0.35">
      <c r="A74" s="2"/>
      <c r="B74" s="1">
        <v>23</v>
      </c>
      <c r="C74">
        <v>1</v>
      </c>
      <c r="D74">
        <v>0.2</v>
      </c>
      <c r="E74">
        <v>1</v>
      </c>
      <c r="F74">
        <v>1</v>
      </c>
    </row>
    <row r="75" spans="1:6" x14ac:dyDescent="0.35">
      <c r="A75" s="2"/>
      <c r="B75" s="1">
        <v>24</v>
      </c>
      <c r="C75">
        <v>1</v>
      </c>
      <c r="D75">
        <v>0.2</v>
      </c>
      <c r="E75">
        <v>1</v>
      </c>
      <c r="F75">
        <v>1</v>
      </c>
    </row>
    <row r="76" spans="1:6" x14ac:dyDescent="0.35">
      <c r="A76" s="2" t="s">
        <v>13</v>
      </c>
      <c r="B76" s="1">
        <v>1</v>
      </c>
      <c r="C76">
        <v>1</v>
      </c>
      <c r="D76">
        <v>0.2</v>
      </c>
      <c r="E76">
        <v>1</v>
      </c>
      <c r="F76">
        <v>1</v>
      </c>
    </row>
    <row r="77" spans="1:6" x14ac:dyDescent="0.35">
      <c r="A77" s="2"/>
      <c r="B77" s="1">
        <v>2</v>
      </c>
      <c r="C77">
        <v>1</v>
      </c>
      <c r="D77">
        <v>0.2</v>
      </c>
      <c r="E77">
        <v>1</v>
      </c>
      <c r="F77">
        <v>1</v>
      </c>
    </row>
    <row r="78" spans="1:6" x14ac:dyDescent="0.35">
      <c r="A78" s="2"/>
      <c r="B78" s="1">
        <v>3</v>
      </c>
      <c r="C78">
        <v>1</v>
      </c>
      <c r="D78">
        <v>0.2</v>
      </c>
      <c r="E78">
        <v>1</v>
      </c>
      <c r="F78">
        <v>1</v>
      </c>
    </row>
    <row r="79" spans="1:6" x14ac:dyDescent="0.35">
      <c r="A79" s="2"/>
      <c r="B79" s="1">
        <v>4</v>
      </c>
      <c r="C79">
        <v>1</v>
      </c>
      <c r="D79">
        <v>0.2</v>
      </c>
      <c r="E79">
        <v>1</v>
      </c>
      <c r="F79">
        <v>1</v>
      </c>
    </row>
    <row r="80" spans="1:6" x14ac:dyDescent="0.35">
      <c r="A80" s="2"/>
      <c r="B80" s="1">
        <v>5</v>
      </c>
      <c r="C80">
        <v>1</v>
      </c>
      <c r="D80">
        <v>0.2</v>
      </c>
      <c r="E80">
        <v>1</v>
      </c>
      <c r="F80">
        <v>1</v>
      </c>
    </row>
    <row r="81" spans="1:6" x14ac:dyDescent="0.35">
      <c r="A81" s="2"/>
      <c r="B81" s="1">
        <v>6</v>
      </c>
      <c r="C81">
        <v>1</v>
      </c>
      <c r="D81">
        <v>0.2</v>
      </c>
      <c r="E81">
        <v>1</v>
      </c>
      <c r="F81">
        <v>1</v>
      </c>
    </row>
    <row r="82" spans="1:6" x14ac:dyDescent="0.35">
      <c r="A82" s="2"/>
      <c r="B82" s="1">
        <v>7</v>
      </c>
      <c r="C82">
        <v>1</v>
      </c>
      <c r="D82">
        <v>0.2</v>
      </c>
      <c r="E82">
        <v>1</v>
      </c>
      <c r="F82">
        <v>1</v>
      </c>
    </row>
    <row r="83" spans="1:6" x14ac:dyDescent="0.35">
      <c r="A83" s="2"/>
      <c r="B83" s="1">
        <v>8</v>
      </c>
      <c r="C83">
        <v>1</v>
      </c>
      <c r="D83">
        <v>0.2</v>
      </c>
      <c r="E83">
        <v>1</v>
      </c>
      <c r="F83">
        <v>1</v>
      </c>
    </row>
    <row r="84" spans="1:6" x14ac:dyDescent="0.35">
      <c r="A84" s="2"/>
      <c r="B84" s="1">
        <v>9</v>
      </c>
      <c r="C84">
        <v>1</v>
      </c>
      <c r="D84">
        <v>0.2</v>
      </c>
      <c r="E84">
        <v>1</v>
      </c>
      <c r="F84">
        <v>1</v>
      </c>
    </row>
    <row r="85" spans="1:6" x14ac:dyDescent="0.35">
      <c r="A85" s="2"/>
      <c r="B85" s="1">
        <v>10</v>
      </c>
      <c r="C85">
        <v>1</v>
      </c>
      <c r="D85">
        <v>0.2</v>
      </c>
      <c r="E85">
        <v>1</v>
      </c>
      <c r="F85">
        <v>1</v>
      </c>
    </row>
    <row r="86" spans="1:6" x14ac:dyDescent="0.35">
      <c r="A86" s="2"/>
      <c r="B86" s="1">
        <v>11</v>
      </c>
      <c r="C86">
        <v>1</v>
      </c>
      <c r="D86">
        <v>0.2</v>
      </c>
      <c r="E86">
        <v>1</v>
      </c>
      <c r="F86">
        <v>1</v>
      </c>
    </row>
    <row r="87" spans="1:6" x14ac:dyDescent="0.35">
      <c r="A87" s="2"/>
      <c r="B87" s="1">
        <v>12</v>
      </c>
      <c r="C87">
        <v>1</v>
      </c>
      <c r="D87">
        <v>0.2</v>
      </c>
      <c r="E87">
        <v>1</v>
      </c>
      <c r="F87">
        <v>1</v>
      </c>
    </row>
    <row r="88" spans="1:6" x14ac:dyDescent="0.35">
      <c r="A88" s="2"/>
      <c r="B88" s="1">
        <v>13</v>
      </c>
      <c r="C88">
        <v>1</v>
      </c>
      <c r="D88">
        <v>0.2</v>
      </c>
      <c r="E88">
        <v>1</v>
      </c>
      <c r="F88">
        <v>1</v>
      </c>
    </row>
    <row r="89" spans="1:6" x14ac:dyDescent="0.35">
      <c r="A89" s="2"/>
      <c r="B89" s="1">
        <v>14</v>
      </c>
      <c r="C89">
        <v>1</v>
      </c>
      <c r="D89">
        <v>0.2</v>
      </c>
      <c r="E89">
        <v>1</v>
      </c>
      <c r="F89">
        <v>1</v>
      </c>
    </row>
    <row r="90" spans="1:6" x14ac:dyDescent="0.35">
      <c r="A90" s="2"/>
      <c r="B90" s="1">
        <v>15</v>
      </c>
      <c r="C90">
        <v>1</v>
      </c>
      <c r="D90">
        <v>0.2</v>
      </c>
      <c r="E90">
        <v>1</v>
      </c>
      <c r="F90">
        <v>1</v>
      </c>
    </row>
    <row r="91" spans="1:6" x14ac:dyDescent="0.35">
      <c r="A91" s="2"/>
      <c r="B91" s="1">
        <v>16</v>
      </c>
      <c r="C91">
        <v>1</v>
      </c>
      <c r="D91">
        <v>0.2</v>
      </c>
      <c r="E91">
        <v>1</v>
      </c>
      <c r="F91">
        <v>1</v>
      </c>
    </row>
    <row r="92" spans="1:6" x14ac:dyDescent="0.35">
      <c r="A92" s="2"/>
      <c r="B92" s="1">
        <v>17</v>
      </c>
      <c r="C92">
        <v>1</v>
      </c>
      <c r="D92">
        <v>0.2</v>
      </c>
      <c r="E92">
        <v>1</v>
      </c>
      <c r="F92">
        <v>1</v>
      </c>
    </row>
    <row r="93" spans="1:6" x14ac:dyDescent="0.35">
      <c r="A93" s="2"/>
      <c r="B93" s="1">
        <v>18</v>
      </c>
      <c r="C93">
        <v>1</v>
      </c>
      <c r="D93">
        <v>0.2</v>
      </c>
      <c r="E93">
        <v>1</v>
      </c>
      <c r="F93">
        <v>1</v>
      </c>
    </row>
    <row r="94" spans="1:6" x14ac:dyDescent="0.35">
      <c r="A94" s="2"/>
      <c r="B94" s="1">
        <v>19</v>
      </c>
      <c r="C94">
        <v>1</v>
      </c>
      <c r="D94">
        <v>0.2</v>
      </c>
      <c r="E94">
        <v>1</v>
      </c>
      <c r="F94">
        <v>1</v>
      </c>
    </row>
    <row r="95" spans="1:6" x14ac:dyDescent="0.35">
      <c r="A95" s="2"/>
      <c r="B95" s="1">
        <v>20</v>
      </c>
      <c r="C95">
        <v>1</v>
      </c>
      <c r="D95">
        <v>0.2</v>
      </c>
      <c r="E95">
        <v>1</v>
      </c>
      <c r="F95">
        <v>1</v>
      </c>
    </row>
    <row r="96" spans="1:6" x14ac:dyDescent="0.35">
      <c r="A96" s="2"/>
      <c r="B96" s="1">
        <v>21</v>
      </c>
      <c r="C96">
        <v>1</v>
      </c>
      <c r="D96">
        <v>0.2</v>
      </c>
      <c r="E96">
        <v>1</v>
      </c>
      <c r="F96">
        <v>1</v>
      </c>
    </row>
    <row r="97" spans="1:6" x14ac:dyDescent="0.35">
      <c r="A97" s="2"/>
      <c r="B97" s="1">
        <v>22</v>
      </c>
      <c r="C97">
        <v>1</v>
      </c>
      <c r="D97">
        <v>0.2</v>
      </c>
      <c r="E97">
        <v>1</v>
      </c>
      <c r="F97">
        <v>1</v>
      </c>
    </row>
    <row r="98" spans="1:6" x14ac:dyDescent="0.35">
      <c r="A98" s="2"/>
      <c r="B98" s="1">
        <v>23</v>
      </c>
      <c r="C98">
        <v>1</v>
      </c>
      <c r="D98">
        <v>0.2</v>
      </c>
      <c r="E98">
        <v>1</v>
      </c>
      <c r="F98">
        <v>1</v>
      </c>
    </row>
    <row r="99" spans="1:6" x14ac:dyDescent="0.35">
      <c r="A99" s="2"/>
      <c r="B99" s="1">
        <v>24</v>
      </c>
      <c r="C99">
        <v>1</v>
      </c>
      <c r="D99">
        <v>0.2</v>
      </c>
      <c r="E99">
        <v>1</v>
      </c>
      <c r="F99">
        <v>1</v>
      </c>
    </row>
    <row r="100" spans="1:6" x14ac:dyDescent="0.35">
      <c r="A100" s="2" t="s">
        <v>14</v>
      </c>
      <c r="B100" s="1">
        <v>1</v>
      </c>
      <c r="C100">
        <v>1</v>
      </c>
      <c r="D100">
        <v>0.2</v>
      </c>
      <c r="E100">
        <v>1</v>
      </c>
      <c r="F100">
        <v>1</v>
      </c>
    </row>
    <row r="101" spans="1:6" x14ac:dyDescent="0.35">
      <c r="A101" s="2"/>
      <c r="B101" s="1">
        <v>2</v>
      </c>
      <c r="C101">
        <v>1</v>
      </c>
      <c r="D101">
        <v>0.2</v>
      </c>
      <c r="E101">
        <v>1</v>
      </c>
      <c r="F101">
        <v>1</v>
      </c>
    </row>
    <row r="102" spans="1:6" x14ac:dyDescent="0.35">
      <c r="A102" s="2"/>
      <c r="B102" s="1">
        <v>3</v>
      </c>
      <c r="C102">
        <v>1</v>
      </c>
      <c r="D102">
        <v>0.2</v>
      </c>
      <c r="E102">
        <v>1</v>
      </c>
      <c r="F102">
        <v>1</v>
      </c>
    </row>
    <row r="103" spans="1:6" x14ac:dyDescent="0.35">
      <c r="A103" s="2"/>
      <c r="B103" s="1">
        <v>4</v>
      </c>
      <c r="C103">
        <v>1</v>
      </c>
      <c r="D103">
        <v>0.2</v>
      </c>
      <c r="E103">
        <v>1</v>
      </c>
      <c r="F103">
        <v>1</v>
      </c>
    </row>
    <row r="104" spans="1:6" x14ac:dyDescent="0.35">
      <c r="A104" s="2"/>
      <c r="B104" s="1">
        <v>5</v>
      </c>
      <c r="C104">
        <v>1</v>
      </c>
      <c r="D104">
        <v>0.2</v>
      </c>
      <c r="E104">
        <v>1</v>
      </c>
      <c r="F104">
        <v>1</v>
      </c>
    </row>
    <row r="105" spans="1:6" x14ac:dyDescent="0.35">
      <c r="A105" s="2"/>
      <c r="B105" s="1">
        <v>6</v>
      </c>
      <c r="C105">
        <v>1</v>
      </c>
      <c r="D105">
        <v>0.2</v>
      </c>
      <c r="E105">
        <v>1</v>
      </c>
      <c r="F105">
        <v>1</v>
      </c>
    </row>
    <row r="106" spans="1:6" x14ac:dyDescent="0.35">
      <c r="A106" s="2"/>
      <c r="B106" s="1">
        <v>7</v>
      </c>
      <c r="C106">
        <v>1</v>
      </c>
      <c r="D106">
        <v>0.2</v>
      </c>
      <c r="E106">
        <v>1</v>
      </c>
      <c r="F106">
        <v>1</v>
      </c>
    </row>
    <row r="107" spans="1:6" x14ac:dyDescent="0.35">
      <c r="A107" s="2"/>
      <c r="B107" s="1">
        <v>8</v>
      </c>
      <c r="C107">
        <v>1</v>
      </c>
      <c r="D107">
        <v>0.2</v>
      </c>
      <c r="E107">
        <v>1</v>
      </c>
      <c r="F107">
        <v>1</v>
      </c>
    </row>
    <row r="108" spans="1:6" x14ac:dyDescent="0.35">
      <c r="A108" s="2"/>
      <c r="B108" s="1">
        <v>9</v>
      </c>
      <c r="C108">
        <v>1</v>
      </c>
      <c r="D108">
        <v>0.2</v>
      </c>
      <c r="E108">
        <v>1</v>
      </c>
      <c r="F108">
        <v>1</v>
      </c>
    </row>
    <row r="109" spans="1:6" x14ac:dyDescent="0.35">
      <c r="A109" s="2"/>
      <c r="B109" s="1">
        <v>10</v>
      </c>
      <c r="C109">
        <v>1</v>
      </c>
      <c r="D109">
        <v>0.2</v>
      </c>
      <c r="E109">
        <v>1</v>
      </c>
      <c r="F109">
        <v>1</v>
      </c>
    </row>
    <row r="110" spans="1:6" x14ac:dyDescent="0.35">
      <c r="A110" s="2"/>
      <c r="B110" s="1">
        <v>11</v>
      </c>
      <c r="C110">
        <v>1</v>
      </c>
      <c r="D110">
        <v>0.2</v>
      </c>
      <c r="E110">
        <v>1</v>
      </c>
      <c r="F110">
        <v>1</v>
      </c>
    </row>
    <row r="111" spans="1:6" x14ac:dyDescent="0.35">
      <c r="A111" s="2"/>
      <c r="B111" s="1">
        <v>12</v>
      </c>
      <c r="C111">
        <v>1</v>
      </c>
      <c r="D111">
        <v>0.2</v>
      </c>
      <c r="E111">
        <v>1</v>
      </c>
      <c r="F111">
        <v>1</v>
      </c>
    </row>
    <row r="112" spans="1:6" x14ac:dyDescent="0.35">
      <c r="A112" s="2"/>
      <c r="B112" s="1">
        <v>13</v>
      </c>
      <c r="C112">
        <v>1</v>
      </c>
      <c r="D112">
        <v>0.2</v>
      </c>
      <c r="E112">
        <v>1</v>
      </c>
      <c r="F112">
        <v>1</v>
      </c>
    </row>
    <row r="113" spans="1:6" x14ac:dyDescent="0.35">
      <c r="A113" s="2"/>
      <c r="B113" s="1">
        <v>14</v>
      </c>
      <c r="C113">
        <v>1</v>
      </c>
      <c r="D113">
        <v>0.2</v>
      </c>
      <c r="E113">
        <v>1</v>
      </c>
      <c r="F113">
        <v>1</v>
      </c>
    </row>
    <row r="114" spans="1:6" x14ac:dyDescent="0.35">
      <c r="A114" s="2"/>
      <c r="B114" s="1">
        <v>15</v>
      </c>
      <c r="C114">
        <v>1</v>
      </c>
      <c r="D114">
        <v>0.2</v>
      </c>
      <c r="E114">
        <v>1</v>
      </c>
      <c r="F114">
        <v>1</v>
      </c>
    </row>
    <row r="115" spans="1:6" x14ac:dyDescent="0.35">
      <c r="A115" s="2"/>
      <c r="B115" s="1">
        <v>16</v>
      </c>
      <c r="C115">
        <v>1</v>
      </c>
      <c r="D115">
        <v>0.2</v>
      </c>
      <c r="E115">
        <v>1</v>
      </c>
      <c r="F115">
        <v>1</v>
      </c>
    </row>
    <row r="116" spans="1:6" x14ac:dyDescent="0.35">
      <c r="A116" s="2"/>
      <c r="B116" s="1">
        <v>17</v>
      </c>
      <c r="C116">
        <v>1</v>
      </c>
      <c r="D116">
        <v>0.2</v>
      </c>
      <c r="E116">
        <v>1</v>
      </c>
      <c r="F116">
        <v>1</v>
      </c>
    </row>
    <row r="117" spans="1:6" x14ac:dyDescent="0.35">
      <c r="A117" s="2"/>
      <c r="B117" s="1">
        <v>18</v>
      </c>
      <c r="C117">
        <v>1</v>
      </c>
      <c r="D117">
        <v>0.2</v>
      </c>
      <c r="E117">
        <v>1</v>
      </c>
      <c r="F117">
        <v>1</v>
      </c>
    </row>
    <row r="118" spans="1:6" x14ac:dyDescent="0.35">
      <c r="A118" s="2"/>
      <c r="B118" s="1">
        <v>19</v>
      </c>
      <c r="C118">
        <v>1</v>
      </c>
      <c r="D118">
        <v>0.2</v>
      </c>
      <c r="E118">
        <v>1</v>
      </c>
      <c r="F118">
        <v>1</v>
      </c>
    </row>
    <row r="119" spans="1:6" x14ac:dyDescent="0.35">
      <c r="A119" s="2"/>
      <c r="B119" s="1">
        <v>20</v>
      </c>
      <c r="C119">
        <v>1</v>
      </c>
      <c r="D119">
        <v>0.2</v>
      </c>
      <c r="E119">
        <v>1</v>
      </c>
      <c r="F119">
        <v>1</v>
      </c>
    </row>
    <row r="120" spans="1:6" x14ac:dyDescent="0.35">
      <c r="A120" s="2"/>
      <c r="B120" s="1">
        <v>21</v>
      </c>
      <c r="C120">
        <v>1</v>
      </c>
      <c r="D120">
        <v>0.2</v>
      </c>
      <c r="E120">
        <v>1</v>
      </c>
      <c r="F120">
        <v>1</v>
      </c>
    </row>
    <row r="121" spans="1:6" x14ac:dyDescent="0.35">
      <c r="A121" s="2"/>
      <c r="B121" s="1">
        <v>22</v>
      </c>
      <c r="C121">
        <v>1</v>
      </c>
      <c r="D121">
        <v>0.2</v>
      </c>
      <c r="E121">
        <v>1</v>
      </c>
      <c r="F121">
        <v>1</v>
      </c>
    </row>
    <row r="122" spans="1:6" x14ac:dyDescent="0.35">
      <c r="A122" s="2"/>
      <c r="B122" s="1">
        <v>23</v>
      </c>
      <c r="C122">
        <v>1</v>
      </c>
      <c r="D122">
        <v>0.2</v>
      </c>
      <c r="E122">
        <v>1</v>
      </c>
      <c r="F122">
        <v>1</v>
      </c>
    </row>
    <row r="123" spans="1:6" x14ac:dyDescent="0.35">
      <c r="A123" s="2"/>
      <c r="B123" s="1">
        <v>24</v>
      </c>
      <c r="C123">
        <v>1</v>
      </c>
      <c r="D123">
        <v>0.2</v>
      </c>
      <c r="E123">
        <v>1</v>
      </c>
      <c r="F123">
        <v>1</v>
      </c>
    </row>
    <row r="124" spans="1:6" x14ac:dyDescent="0.35">
      <c r="A124" s="2" t="s">
        <v>15</v>
      </c>
      <c r="B124" s="1">
        <v>1</v>
      </c>
      <c r="C124">
        <v>1</v>
      </c>
      <c r="D124">
        <v>0.2</v>
      </c>
      <c r="E124">
        <v>1</v>
      </c>
      <c r="F124">
        <v>1</v>
      </c>
    </row>
    <row r="125" spans="1:6" x14ac:dyDescent="0.35">
      <c r="A125" s="2"/>
      <c r="B125" s="1">
        <v>2</v>
      </c>
      <c r="C125">
        <v>1</v>
      </c>
      <c r="D125">
        <v>0.2</v>
      </c>
      <c r="E125">
        <v>1</v>
      </c>
      <c r="F125">
        <v>1</v>
      </c>
    </row>
    <row r="126" spans="1:6" x14ac:dyDescent="0.35">
      <c r="A126" s="2"/>
      <c r="B126" s="1">
        <v>3</v>
      </c>
      <c r="C126">
        <v>1</v>
      </c>
      <c r="D126">
        <v>0.2</v>
      </c>
      <c r="E126">
        <v>1</v>
      </c>
      <c r="F126">
        <v>1</v>
      </c>
    </row>
    <row r="127" spans="1:6" x14ac:dyDescent="0.35">
      <c r="A127" s="2"/>
      <c r="B127" s="1">
        <v>4</v>
      </c>
      <c r="C127">
        <v>1</v>
      </c>
      <c r="D127">
        <v>0.2</v>
      </c>
      <c r="E127">
        <v>1</v>
      </c>
      <c r="F127">
        <v>1</v>
      </c>
    </row>
    <row r="128" spans="1:6" x14ac:dyDescent="0.35">
      <c r="A128" s="2"/>
      <c r="B128" s="1">
        <v>5</v>
      </c>
      <c r="C128">
        <v>1</v>
      </c>
      <c r="D128">
        <v>0.2</v>
      </c>
      <c r="E128">
        <v>1</v>
      </c>
      <c r="F128">
        <v>1</v>
      </c>
    </row>
    <row r="129" spans="1:6" x14ac:dyDescent="0.35">
      <c r="A129" s="2"/>
      <c r="B129" s="1">
        <v>6</v>
      </c>
      <c r="C129">
        <v>1</v>
      </c>
      <c r="D129">
        <v>0.2</v>
      </c>
      <c r="E129">
        <v>1</v>
      </c>
      <c r="F129">
        <v>1</v>
      </c>
    </row>
    <row r="130" spans="1:6" x14ac:dyDescent="0.35">
      <c r="A130" s="2"/>
      <c r="B130" s="1">
        <v>7</v>
      </c>
      <c r="C130">
        <v>1</v>
      </c>
      <c r="D130">
        <v>0.2</v>
      </c>
      <c r="E130">
        <v>1</v>
      </c>
      <c r="F130">
        <v>1</v>
      </c>
    </row>
    <row r="131" spans="1:6" x14ac:dyDescent="0.35">
      <c r="A131" s="2"/>
      <c r="B131" s="1">
        <v>8</v>
      </c>
      <c r="C131">
        <v>1</v>
      </c>
      <c r="D131">
        <v>0.2</v>
      </c>
      <c r="E131">
        <v>1</v>
      </c>
      <c r="F131">
        <v>1</v>
      </c>
    </row>
    <row r="132" spans="1:6" x14ac:dyDescent="0.35">
      <c r="A132" s="2"/>
      <c r="B132" s="1">
        <v>9</v>
      </c>
      <c r="C132">
        <v>1</v>
      </c>
      <c r="D132">
        <v>0.2</v>
      </c>
      <c r="E132">
        <v>1</v>
      </c>
      <c r="F132">
        <v>1</v>
      </c>
    </row>
    <row r="133" spans="1:6" x14ac:dyDescent="0.35">
      <c r="A133" s="2"/>
      <c r="B133" s="1">
        <v>10</v>
      </c>
      <c r="C133">
        <v>1</v>
      </c>
      <c r="D133">
        <v>0.2</v>
      </c>
      <c r="E133">
        <v>1</v>
      </c>
      <c r="F133">
        <v>1</v>
      </c>
    </row>
    <row r="134" spans="1:6" x14ac:dyDescent="0.35">
      <c r="A134" s="2"/>
      <c r="B134" s="1">
        <v>11</v>
      </c>
      <c r="C134">
        <v>1</v>
      </c>
      <c r="D134">
        <v>0.2</v>
      </c>
      <c r="E134">
        <v>1</v>
      </c>
      <c r="F134">
        <v>1</v>
      </c>
    </row>
    <row r="135" spans="1:6" x14ac:dyDescent="0.35">
      <c r="A135" s="2"/>
      <c r="B135" s="1">
        <v>12</v>
      </c>
      <c r="C135">
        <v>1</v>
      </c>
      <c r="D135">
        <v>0.2</v>
      </c>
      <c r="E135">
        <v>1</v>
      </c>
      <c r="F135">
        <v>1</v>
      </c>
    </row>
    <row r="136" spans="1:6" x14ac:dyDescent="0.35">
      <c r="A136" s="2"/>
      <c r="B136" s="1">
        <v>13</v>
      </c>
      <c r="C136">
        <v>1</v>
      </c>
      <c r="D136">
        <v>0.2</v>
      </c>
      <c r="E136">
        <v>1</v>
      </c>
      <c r="F136">
        <v>1</v>
      </c>
    </row>
    <row r="137" spans="1:6" x14ac:dyDescent="0.35">
      <c r="A137" s="2"/>
      <c r="B137" s="1">
        <v>14</v>
      </c>
      <c r="C137">
        <v>1</v>
      </c>
      <c r="D137">
        <v>0.2</v>
      </c>
      <c r="E137">
        <v>1</v>
      </c>
      <c r="F137">
        <v>1</v>
      </c>
    </row>
    <row r="138" spans="1:6" x14ac:dyDescent="0.35">
      <c r="A138" s="2"/>
      <c r="B138" s="1">
        <v>15</v>
      </c>
      <c r="C138">
        <v>1</v>
      </c>
      <c r="D138">
        <v>0.2</v>
      </c>
      <c r="E138">
        <v>1</v>
      </c>
      <c r="F138">
        <v>1</v>
      </c>
    </row>
    <row r="139" spans="1:6" x14ac:dyDescent="0.35">
      <c r="A139" s="2"/>
      <c r="B139" s="1">
        <v>16</v>
      </c>
      <c r="C139">
        <v>1</v>
      </c>
      <c r="D139">
        <v>0.2</v>
      </c>
      <c r="E139">
        <v>1</v>
      </c>
      <c r="F139">
        <v>1</v>
      </c>
    </row>
    <row r="140" spans="1:6" x14ac:dyDescent="0.35">
      <c r="A140" s="2"/>
      <c r="B140" s="1">
        <v>17</v>
      </c>
      <c r="C140">
        <v>1</v>
      </c>
      <c r="D140">
        <v>0.2</v>
      </c>
      <c r="E140">
        <v>1</v>
      </c>
      <c r="F140">
        <v>1</v>
      </c>
    </row>
    <row r="141" spans="1:6" x14ac:dyDescent="0.35">
      <c r="A141" s="2"/>
      <c r="B141" s="1">
        <v>18</v>
      </c>
      <c r="C141">
        <v>1</v>
      </c>
      <c r="D141">
        <v>0.2</v>
      </c>
      <c r="E141">
        <v>1</v>
      </c>
      <c r="F141">
        <v>1</v>
      </c>
    </row>
    <row r="142" spans="1:6" x14ac:dyDescent="0.35">
      <c r="A142" s="2"/>
      <c r="B142" s="1">
        <v>19</v>
      </c>
      <c r="C142">
        <v>1</v>
      </c>
      <c r="D142">
        <v>0.2</v>
      </c>
      <c r="E142">
        <v>1</v>
      </c>
      <c r="F142">
        <v>1</v>
      </c>
    </row>
    <row r="143" spans="1:6" x14ac:dyDescent="0.35">
      <c r="A143" s="2"/>
      <c r="B143" s="1">
        <v>20</v>
      </c>
      <c r="C143">
        <v>1</v>
      </c>
      <c r="D143">
        <v>0.2</v>
      </c>
      <c r="E143">
        <v>1</v>
      </c>
      <c r="F143">
        <v>1</v>
      </c>
    </row>
    <row r="144" spans="1:6" x14ac:dyDescent="0.35">
      <c r="A144" s="2"/>
      <c r="B144" s="1">
        <v>21</v>
      </c>
      <c r="C144">
        <v>1</v>
      </c>
      <c r="D144">
        <v>0.2</v>
      </c>
      <c r="E144">
        <v>1</v>
      </c>
      <c r="F144">
        <v>1</v>
      </c>
    </row>
    <row r="145" spans="1:6" x14ac:dyDescent="0.35">
      <c r="A145" s="2"/>
      <c r="B145" s="1">
        <v>22</v>
      </c>
      <c r="C145">
        <v>1</v>
      </c>
      <c r="D145">
        <v>0.2</v>
      </c>
      <c r="E145">
        <v>1</v>
      </c>
      <c r="F145">
        <v>1</v>
      </c>
    </row>
    <row r="146" spans="1:6" x14ac:dyDescent="0.35">
      <c r="A146" s="2"/>
      <c r="B146" s="1">
        <v>23</v>
      </c>
      <c r="C146">
        <v>1</v>
      </c>
      <c r="D146">
        <v>0.2</v>
      </c>
      <c r="E146">
        <v>1</v>
      </c>
      <c r="F146">
        <v>1</v>
      </c>
    </row>
    <row r="147" spans="1:6" x14ac:dyDescent="0.35">
      <c r="A147" s="2"/>
      <c r="B147" s="1">
        <v>24</v>
      </c>
      <c r="C147">
        <v>1</v>
      </c>
      <c r="D147">
        <v>0.2</v>
      </c>
      <c r="E147">
        <v>1</v>
      </c>
      <c r="F147">
        <v>1</v>
      </c>
    </row>
    <row r="148" spans="1:6" x14ac:dyDescent="0.35">
      <c r="A148" s="2" t="s">
        <v>16</v>
      </c>
      <c r="B148" s="1">
        <v>1</v>
      </c>
      <c r="C148">
        <v>1</v>
      </c>
      <c r="D148">
        <v>0.2</v>
      </c>
      <c r="E148">
        <v>1</v>
      </c>
      <c r="F148">
        <v>1</v>
      </c>
    </row>
    <row r="149" spans="1:6" x14ac:dyDescent="0.35">
      <c r="A149" s="2"/>
      <c r="B149" s="1">
        <v>2</v>
      </c>
      <c r="C149">
        <v>1</v>
      </c>
      <c r="D149">
        <v>0.2</v>
      </c>
      <c r="E149">
        <v>1</v>
      </c>
      <c r="F149">
        <v>1</v>
      </c>
    </row>
    <row r="150" spans="1:6" x14ac:dyDescent="0.35">
      <c r="A150" s="2"/>
      <c r="B150" s="1">
        <v>3</v>
      </c>
      <c r="C150">
        <v>1</v>
      </c>
      <c r="D150">
        <v>0.2</v>
      </c>
      <c r="E150">
        <v>1</v>
      </c>
      <c r="F150">
        <v>1</v>
      </c>
    </row>
    <row r="151" spans="1:6" x14ac:dyDescent="0.35">
      <c r="A151" s="2"/>
      <c r="B151" s="1">
        <v>4</v>
      </c>
      <c r="C151">
        <v>1</v>
      </c>
      <c r="D151">
        <v>0.2</v>
      </c>
      <c r="E151">
        <v>1</v>
      </c>
      <c r="F151">
        <v>1</v>
      </c>
    </row>
    <row r="152" spans="1:6" x14ac:dyDescent="0.35">
      <c r="A152" s="2"/>
      <c r="B152" s="1">
        <v>5</v>
      </c>
      <c r="C152">
        <v>1</v>
      </c>
      <c r="D152">
        <v>0.2</v>
      </c>
      <c r="E152">
        <v>1</v>
      </c>
      <c r="F152">
        <v>1</v>
      </c>
    </row>
    <row r="153" spans="1:6" x14ac:dyDescent="0.35">
      <c r="A153" s="2"/>
      <c r="B153" s="1">
        <v>6</v>
      </c>
      <c r="C153">
        <v>1</v>
      </c>
      <c r="D153">
        <v>0.2</v>
      </c>
      <c r="E153">
        <v>1</v>
      </c>
      <c r="F153">
        <v>1</v>
      </c>
    </row>
    <row r="154" spans="1:6" x14ac:dyDescent="0.35">
      <c r="A154" s="2"/>
      <c r="B154" s="1">
        <v>7</v>
      </c>
      <c r="C154">
        <v>1</v>
      </c>
      <c r="D154">
        <v>0.2</v>
      </c>
      <c r="E154">
        <v>1</v>
      </c>
      <c r="F154">
        <v>1</v>
      </c>
    </row>
    <row r="155" spans="1:6" x14ac:dyDescent="0.35">
      <c r="A155" s="2"/>
      <c r="B155" s="1">
        <v>8</v>
      </c>
      <c r="C155">
        <v>1</v>
      </c>
      <c r="D155">
        <v>0.2</v>
      </c>
      <c r="E155">
        <v>1</v>
      </c>
      <c r="F155">
        <v>1</v>
      </c>
    </row>
    <row r="156" spans="1:6" x14ac:dyDescent="0.35">
      <c r="A156" s="2"/>
      <c r="B156" s="1">
        <v>9</v>
      </c>
      <c r="C156">
        <v>1</v>
      </c>
      <c r="D156">
        <v>0.2</v>
      </c>
      <c r="E156">
        <v>1</v>
      </c>
      <c r="F156">
        <v>1</v>
      </c>
    </row>
    <row r="157" spans="1:6" x14ac:dyDescent="0.35">
      <c r="A157" s="2"/>
      <c r="B157" s="1">
        <v>10</v>
      </c>
      <c r="C157">
        <v>1</v>
      </c>
      <c r="D157">
        <v>0.2</v>
      </c>
      <c r="E157">
        <v>1</v>
      </c>
      <c r="F157">
        <v>1</v>
      </c>
    </row>
    <row r="158" spans="1:6" x14ac:dyDescent="0.35">
      <c r="A158" s="2"/>
      <c r="B158" s="1">
        <v>11</v>
      </c>
      <c r="C158">
        <v>1</v>
      </c>
      <c r="D158">
        <v>0.2</v>
      </c>
      <c r="E158">
        <v>1</v>
      </c>
      <c r="F158">
        <v>1</v>
      </c>
    </row>
    <row r="159" spans="1:6" x14ac:dyDescent="0.35">
      <c r="A159" s="2"/>
      <c r="B159" s="1">
        <v>12</v>
      </c>
      <c r="C159">
        <v>1</v>
      </c>
      <c r="D159">
        <v>0.2</v>
      </c>
      <c r="E159">
        <v>1</v>
      </c>
      <c r="F159">
        <v>1</v>
      </c>
    </row>
    <row r="160" spans="1:6" x14ac:dyDescent="0.35">
      <c r="A160" s="2"/>
      <c r="B160" s="1">
        <v>13</v>
      </c>
      <c r="C160">
        <v>1</v>
      </c>
      <c r="D160">
        <v>0.2</v>
      </c>
      <c r="E160">
        <v>1</v>
      </c>
      <c r="F160">
        <v>1</v>
      </c>
    </row>
    <row r="161" spans="1:6" x14ac:dyDescent="0.35">
      <c r="A161" s="2"/>
      <c r="B161" s="1">
        <v>14</v>
      </c>
      <c r="C161">
        <v>1</v>
      </c>
      <c r="D161">
        <v>0.2</v>
      </c>
      <c r="E161">
        <v>1</v>
      </c>
      <c r="F161">
        <v>1</v>
      </c>
    </row>
    <row r="162" spans="1:6" x14ac:dyDescent="0.35">
      <c r="A162" s="2"/>
      <c r="B162" s="1">
        <v>15</v>
      </c>
      <c r="C162">
        <v>1</v>
      </c>
      <c r="D162">
        <v>0.2</v>
      </c>
      <c r="E162">
        <v>1</v>
      </c>
      <c r="F162">
        <v>1</v>
      </c>
    </row>
    <row r="163" spans="1:6" x14ac:dyDescent="0.35">
      <c r="A163" s="2"/>
      <c r="B163" s="1">
        <v>16</v>
      </c>
      <c r="C163">
        <v>1</v>
      </c>
      <c r="D163">
        <v>0.2</v>
      </c>
      <c r="E163">
        <v>1</v>
      </c>
      <c r="F163">
        <v>1</v>
      </c>
    </row>
    <row r="164" spans="1:6" x14ac:dyDescent="0.35">
      <c r="A164" s="2"/>
      <c r="B164" s="1">
        <v>17</v>
      </c>
      <c r="C164">
        <v>1</v>
      </c>
      <c r="D164">
        <v>0.2</v>
      </c>
      <c r="E164">
        <v>1</v>
      </c>
      <c r="F164">
        <v>1</v>
      </c>
    </row>
    <row r="165" spans="1:6" x14ac:dyDescent="0.35">
      <c r="A165" s="2"/>
      <c r="B165" s="1">
        <v>18</v>
      </c>
      <c r="C165">
        <v>1</v>
      </c>
      <c r="D165">
        <v>0.2</v>
      </c>
      <c r="E165">
        <v>1</v>
      </c>
      <c r="F165">
        <v>1</v>
      </c>
    </row>
    <row r="166" spans="1:6" x14ac:dyDescent="0.35">
      <c r="A166" s="2"/>
      <c r="B166" s="1">
        <v>19</v>
      </c>
      <c r="C166">
        <v>1</v>
      </c>
      <c r="D166">
        <v>0.2</v>
      </c>
      <c r="E166">
        <v>1</v>
      </c>
      <c r="F166">
        <v>1</v>
      </c>
    </row>
    <row r="167" spans="1:6" x14ac:dyDescent="0.35">
      <c r="A167" s="2"/>
      <c r="B167" s="1">
        <v>20</v>
      </c>
      <c r="C167">
        <v>1</v>
      </c>
      <c r="D167">
        <v>0.2</v>
      </c>
      <c r="E167">
        <v>1</v>
      </c>
      <c r="F167">
        <v>1</v>
      </c>
    </row>
    <row r="168" spans="1:6" x14ac:dyDescent="0.35">
      <c r="A168" s="2"/>
      <c r="B168" s="1">
        <v>21</v>
      </c>
      <c r="C168">
        <v>1</v>
      </c>
      <c r="D168">
        <v>0.2</v>
      </c>
      <c r="E168">
        <v>1</v>
      </c>
      <c r="F168">
        <v>1</v>
      </c>
    </row>
    <row r="169" spans="1:6" x14ac:dyDescent="0.35">
      <c r="A169" s="2"/>
      <c r="B169" s="1">
        <v>22</v>
      </c>
      <c r="C169">
        <v>1</v>
      </c>
      <c r="D169">
        <v>0.2</v>
      </c>
      <c r="E169">
        <v>1</v>
      </c>
      <c r="F169">
        <v>1</v>
      </c>
    </row>
    <row r="170" spans="1:6" x14ac:dyDescent="0.35">
      <c r="A170" s="2"/>
      <c r="B170" s="1">
        <v>23</v>
      </c>
      <c r="C170">
        <v>1</v>
      </c>
      <c r="D170">
        <v>0.2</v>
      </c>
      <c r="E170">
        <v>1</v>
      </c>
      <c r="F170">
        <v>1</v>
      </c>
    </row>
    <row r="171" spans="1:6" x14ac:dyDescent="0.35">
      <c r="A171" s="2"/>
      <c r="B171" s="1">
        <v>24</v>
      </c>
      <c r="C171">
        <v>1</v>
      </c>
      <c r="D171">
        <v>0.2</v>
      </c>
      <c r="E171">
        <v>1</v>
      </c>
      <c r="F171">
        <v>1</v>
      </c>
    </row>
    <row r="172" spans="1:6" x14ac:dyDescent="0.35">
      <c r="A172" s="2" t="s">
        <v>17</v>
      </c>
      <c r="B172" s="1">
        <v>1</v>
      </c>
      <c r="C172">
        <v>1</v>
      </c>
      <c r="D172">
        <v>0.2</v>
      </c>
      <c r="E172">
        <v>1</v>
      </c>
      <c r="F172">
        <v>1</v>
      </c>
    </row>
    <row r="173" spans="1:6" x14ac:dyDescent="0.35">
      <c r="A173" s="2"/>
      <c r="B173" s="1">
        <v>2</v>
      </c>
      <c r="C173">
        <v>1</v>
      </c>
      <c r="D173">
        <v>0.2</v>
      </c>
      <c r="E173">
        <v>1</v>
      </c>
      <c r="F173">
        <v>1</v>
      </c>
    </row>
    <row r="174" spans="1:6" x14ac:dyDescent="0.35">
      <c r="A174" s="2"/>
      <c r="B174" s="1">
        <v>3</v>
      </c>
      <c r="C174">
        <v>1</v>
      </c>
      <c r="D174">
        <v>0.2</v>
      </c>
      <c r="E174">
        <v>1</v>
      </c>
      <c r="F174">
        <v>1</v>
      </c>
    </row>
    <row r="175" spans="1:6" x14ac:dyDescent="0.35">
      <c r="A175" s="2"/>
      <c r="B175" s="1">
        <v>4</v>
      </c>
      <c r="C175">
        <v>1</v>
      </c>
      <c r="D175">
        <v>0.2</v>
      </c>
      <c r="E175">
        <v>1</v>
      </c>
      <c r="F175">
        <v>1</v>
      </c>
    </row>
    <row r="176" spans="1:6" x14ac:dyDescent="0.35">
      <c r="A176" s="2"/>
      <c r="B176" s="1">
        <v>5</v>
      </c>
      <c r="C176">
        <v>1</v>
      </c>
      <c r="D176">
        <v>0.2</v>
      </c>
      <c r="E176">
        <v>1</v>
      </c>
      <c r="F176">
        <v>1</v>
      </c>
    </row>
    <row r="177" spans="1:6" x14ac:dyDescent="0.35">
      <c r="A177" s="2"/>
      <c r="B177" s="1">
        <v>6</v>
      </c>
      <c r="C177">
        <v>1</v>
      </c>
      <c r="D177">
        <v>0.2</v>
      </c>
      <c r="E177">
        <v>1</v>
      </c>
      <c r="F177">
        <v>1</v>
      </c>
    </row>
    <row r="178" spans="1:6" x14ac:dyDescent="0.35">
      <c r="A178" s="2"/>
      <c r="B178" s="1">
        <v>7</v>
      </c>
      <c r="C178">
        <v>1</v>
      </c>
      <c r="D178">
        <v>0.2</v>
      </c>
      <c r="E178">
        <v>1</v>
      </c>
      <c r="F178">
        <v>1</v>
      </c>
    </row>
    <row r="179" spans="1:6" x14ac:dyDescent="0.35">
      <c r="A179" s="2"/>
      <c r="B179" s="1">
        <v>8</v>
      </c>
      <c r="C179">
        <v>1</v>
      </c>
      <c r="D179">
        <v>0.2</v>
      </c>
      <c r="E179">
        <v>1</v>
      </c>
      <c r="F179">
        <v>1</v>
      </c>
    </row>
    <row r="180" spans="1:6" x14ac:dyDescent="0.35">
      <c r="A180" s="2"/>
      <c r="B180" s="1">
        <v>9</v>
      </c>
      <c r="C180">
        <v>1</v>
      </c>
      <c r="D180">
        <v>0.2</v>
      </c>
      <c r="E180">
        <v>1</v>
      </c>
      <c r="F180">
        <v>1</v>
      </c>
    </row>
    <row r="181" spans="1:6" x14ac:dyDescent="0.35">
      <c r="A181" s="2"/>
      <c r="B181" s="1">
        <v>10</v>
      </c>
      <c r="C181">
        <v>1</v>
      </c>
      <c r="D181">
        <v>0.2</v>
      </c>
      <c r="E181">
        <v>1</v>
      </c>
      <c r="F181">
        <v>1</v>
      </c>
    </row>
    <row r="182" spans="1:6" x14ac:dyDescent="0.35">
      <c r="A182" s="2"/>
      <c r="B182" s="1">
        <v>11</v>
      </c>
      <c r="C182">
        <v>1</v>
      </c>
      <c r="D182">
        <v>0.2</v>
      </c>
      <c r="E182">
        <v>1</v>
      </c>
      <c r="F182">
        <v>1</v>
      </c>
    </row>
    <row r="183" spans="1:6" x14ac:dyDescent="0.35">
      <c r="A183" s="2"/>
      <c r="B183" s="1">
        <v>12</v>
      </c>
      <c r="C183">
        <v>1</v>
      </c>
      <c r="D183">
        <v>0.2</v>
      </c>
      <c r="E183">
        <v>1</v>
      </c>
      <c r="F183">
        <v>1</v>
      </c>
    </row>
    <row r="184" spans="1:6" x14ac:dyDescent="0.35">
      <c r="A184" s="2"/>
      <c r="B184" s="1">
        <v>13</v>
      </c>
      <c r="C184">
        <v>1</v>
      </c>
      <c r="D184">
        <v>0.2</v>
      </c>
      <c r="E184">
        <v>1</v>
      </c>
      <c r="F184">
        <v>1</v>
      </c>
    </row>
    <row r="185" spans="1:6" x14ac:dyDescent="0.35">
      <c r="A185" s="2"/>
      <c r="B185" s="1">
        <v>14</v>
      </c>
      <c r="C185">
        <v>1</v>
      </c>
      <c r="D185">
        <v>0.2</v>
      </c>
      <c r="E185">
        <v>1</v>
      </c>
      <c r="F185">
        <v>1</v>
      </c>
    </row>
    <row r="186" spans="1:6" x14ac:dyDescent="0.35">
      <c r="A186" s="2"/>
      <c r="B186" s="1">
        <v>15</v>
      </c>
      <c r="C186">
        <v>1</v>
      </c>
      <c r="D186">
        <v>0.2</v>
      </c>
      <c r="E186">
        <v>1</v>
      </c>
      <c r="F186">
        <v>1</v>
      </c>
    </row>
    <row r="187" spans="1:6" x14ac:dyDescent="0.35">
      <c r="A187" s="2"/>
      <c r="B187" s="1">
        <v>16</v>
      </c>
      <c r="C187">
        <v>1</v>
      </c>
      <c r="D187">
        <v>0.2</v>
      </c>
      <c r="E187">
        <v>1</v>
      </c>
      <c r="F187">
        <v>1</v>
      </c>
    </row>
    <row r="188" spans="1:6" x14ac:dyDescent="0.35">
      <c r="A188" s="2"/>
      <c r="B188" s="1">
        <v>17</v>
      </c>
      <c r="C188">
        <v>1</v>
      </c>
      <c r="D188">
        <v>0.2</v>
      </c>
      <c r="E188">
        <v>1</v>
      </c>
      <c r="F188">
        <v>1</v>
      </c>
    </row>
    <row r="189" spans="1:6" x14ac:dyDescent="0.35">
      <c r="A189" s="2"/>
      <c r="B189" s="1">
        <v>18</v>
      </c>
      <c r="C189">
        <v>1</v>
      </c>
      <c r="D189">
        <v>0.2</v>
      </c>
      <c r="E189">
        <v>1</v>
      </c>
      <c r="F189">
        <v>1</v>
      </c>
    </row>
    <row r="190" spans="1:6" x14ac:dyDescent="0.35">
      <c r="A190" s="2"/>
      <c r="B190" s="1">
        <v>19</v>
      </c>
      <c r="C190">
        <v>1</v>
      </c>
      <c r="D190">
        <v>0.2</v>
      </c>
      <c r="E190">
        <v>1</v>
      </c>
      <c r="F190">
        <v>1</v>
      </c>
    </row>
    <row r="191" spans="1:6" x14ac:dyDescent="0.35">
      <c r="A191" s="2"/>
      <c r="B191" s="1">
        <v>20</v>
      </c>
      <c r="C191">
        <v>1</v>
      </c>
      <c r="D191">
        <v>0.2</v>
      </c>
      <c r="E191">
        <v>1</v>
      </c>
      <c r="F191">
        <v>1</v>
      </c>
    </row>
    <row r="192" spans="1:6" x14ac:dyDescent="0.35">
      <c r="A192" s="2"/>
      <c r="B192" s="1">
        <v>21</v>
      </c>
      <c r="C192">
        <v>1</v>
      </c>
      <c r="D192">
        <v>0.2</v>
      </c>
      <c r="E192">
        <v>1</v>
      </c>
      <c r="F192">
        <v>1</v>
      </c>
    </row>
    <row r="193" spans="1:6" x14ac:dyDescent="0.35">
      <c r="A193" s="2"/>
      <c r="B193" s="1">
        <v>22</v>
      </c>
      <c r="C193">
        <v>1</v>
      </c>
      <c r="D193">
        <v>0.2</v>
      </c>
      <c r="E193">
        <v>1</v>
      </c>
      <c r="F193">
        <v>1</v>
      </c>
    </row>
    <row r="194" spans="1:6" x14ac:dyDescent="0.35">
      <c r="A194" s="2"/>
      <c r="B194" s="1">
        <v>23</v>
      </c>
      <c r="C194">
        <v>1</v>
      </c>
      <c r="D194">
        <v>0.2</v>
      </c>
      <c r="E194">
        <v>1</v>
      </c>
      <c r="F194">
        <v>1</v>
      </c>
    </row>
    <row r="195" spans="1:6" x14ac:dyDescent="0.35">
      <c r="A195" s="2"/>
      <c r="B195" s="1">
        <v>24</v>
      </c>
      <c r="C195">
        <v>1</v>
      </c>
      <c r="D195">
        <v>0.2</v>
      </c>
      <c r="E195">
        <v>1</v>
      </c>
      <c r="F195">
        <v>1</v>
      </c>
    </row>
    <row r="196" spans="1:6" x14ac:dyDescent="0.35">
      <c r="A196" s="2" t="s">
        <v>18</v>
      </c>
      <c r="B196" s="1">
        <v>1</v>
      </c>
      <c r="C196">
        <v>1</v>
      </c>
      <c r="D196">
        <v>0.2</v>
      </c>
      <c r="E196">
        <v>1</v>
      </c>
      <c r="F196">
        <v>1</v>
      </c>
    </row>
    <row r="197" spans="1:6" x14ac:dyDescent="0.35">
      <c r="A197" s="2"/>
      <c r="B197" s="1">
        <v>2</v>
      </c>
      <c r="C197">
        <v>1</v>
      </c>
      <c r="D197">
        <v>0.2</v>
      </c>
      <c r="E197">
        <v>1</v>
      </c>
      <c r="F197">
        <v>1</v>
      </c>
    </row>
    <row r="198" spans="1:6" x14ac:dyDescent="0.35">
      <c r="A198" s="2"/>
      <c r="B198" s="1">
        <v>3</v>
      </c>
      <c r="C198">
        <v>1</v>
      </c>
      <c r="D198">
        <v>0.2</v>
      </c>
      <c r="E198">
        <v>1</v>
      </c>
      <c r="F198">
        <v>1</v>
      </c>
    </row>
    <row r="199" spans="1:6" x14ac:dyDescent="0.35">
      <c r="A199" s="2"/>
      <c r="B199" s="1">
        <v>4</v>
      </c>
      <c r="C199">
        <v>1</v>
      </c>
      <c r="D199">
        <v>0.2</v>
      </c>
      <c r="E199">
        <v>1</v>
      </c>
      <c r="F199">
        <v>1</v>
      </c>
    </row>
    <row r="200" spans="1:6" x14ac:dyDescent="0.35">
      <c r="A200" s="2"/>
      <c r="B200" s="1">
        <v>5</v>
      </c>
      <c r="C200">
        <v>1</v>
      </c>
      <c r="D200">
        <v>0.2</v>
      </c>
      <c r="E200">
        <v>1</v>
      </c>
      <c r="F200">
        <v>1</v>
      </c>
    </row>
    <row r="201" spans="1:6" x14ac:dyDescent="0.35">
      <c r="A201" s="2"/>
      <c r="B201" s="1">
        <v>6</v>
      </c>
      <c r="C201">
        <v>1</v>
      </c>
      <c r="D201">
        <v>0.2</v>
      </c>
      <c r="E201">
        <v>1</v>
      </c>
      <c r="F201">
        <v>1</v>
      </c>
    </row>
    <row r="202" spans="1:6" x14ac:dyDescent="0.35">
      <c r="A202" s="2"/>
      <c r="B202" s="1">
        <v>7</v>
      </c>
      <c r="C202">
        <v>1</v>
      </c>
      <c r="D202">
        <v>0.2</v>
      </c>
      <c r="E202">
        <v>1</v>
      </c>
      <c r="F202">
        <v>1</v>
      </c>
    </row>
    <row r="203" spans="1:6" x14ac:dyDescent="0.35">
      <c r="A203" s="2"/>
      <c r="B203" s="1">
        <v>8</v>
      </c>
      <c r="C203">
        <v>1</v>
      </c>
      <c r="D203">
        <v>0.2</v>
      </c>
      <c r="E203">
        <v>1</v>
      </c>
      <c r="F203">
        <v>1</v>
      </c>
    </row>
    <row r="204" spans="1:6" x14ac:dyDescent="0.35">
      <c r="A204" s="2"/>
      <c r="B204" s="1">
        <v>9</v>
      </c>
      <c r="C204">
        <v>1</v>
      </c>
      <c r="D204">
        <v>0.2</v>
      </c>
      <c r="E204">
        <v>1</v>
      </c>
      <c r="F204">
        <v>1</v>
      </c>
    </row>
    <row r="205" spans="1:6" x14ac:dyDescent="0.35">
      <c r="A205" s="2"/>
      <c r="B205" s="1">
        <v>10</v>
      </c>
      <c r="C205">
        <v>1</v>
      </c>
      <c r="D205">
        <v>0.2</v>
      </c>
      <c r="E205">
        <v>1</v>
      </c>
      <c r="F205">
        <v>1</v>
      </c>
    </row>
    <row r="206" spans="1:6" x14ac:dyDescent="0.35">
      <c r="A206" s="2"/>
      <c r="B206" s="1">
        <v>11</v>
      </c>
      <c r="C206">
        <v>1</v>
      </c>
      <c r="D206">
        <v>0.2</v>
      </c>
      <c r="E206">
        <v>1</v>
      </c>
      <c r="F206">
        <v>1</v>
      </c>
    </row>
    <row r="207" spans="1:6" x14ac:dyDescent="0.35">
      <c r="A207" s="2"/>
      <c r="B207" s="1">
        <v>12</v>
      </c>
      <c r="C207">
        <v>1</v>
      </c>
      <c r="D207">
        <v>0.2</v>
      </c>
      <c r="E207">
        <v>1</v>
      </c>
      <c r="F207">
        <v>1</v>
      </c>
    </row>
    <row r="208" spans="1:6" x14ac:dyDescent="0.35">
      <c r="A208" s="2"/>
      <c r="B208" s="1">
        <v>13</v>
      </c>
      <c r="C208">
        <v>1</v>
      </c>
      <c r="D208">
        <v>0.2</v>
      </c>
      <c r="E208">
        <v>1</v>
      </c>
      <c r="F208">
        <v>1</v>
      </c>
    </row>
    <row r="209" spans="1:6" x14ac:dyDescent="0.35">
      <c r="A209" s="2"/>
      <c r="B209" s="1">
        <v>14</v>
      </c>
      <c r="C209">
        <v>1</v>
      </c>
      <c r="D209">
        <v>0.2</v>
      </c>
      <c r="E209">
        <v>1</v>
      </c>
      <c r="F209">
        <v>1</v>
      </c>
    </row>
    <row r="210" spans="1:6" x14ac:dyDescent="0.35">
      <c r="A210" s="2"/>
      <c r="B210" s="1">
        <v>15</v>
      </c>
      <c r="C210">
        <v>1</v>
      </c>
      <c r="D210">
        <v>0.2</v>
      </c>
      <c r="E210">
        <v>1</v>
      </c>
      <c r="F210">
        <v>1</v>
      </c>
    </row>
    <row r="211" spans="1:6" x14ac:dyDescent="0.35">
      <c r="A211" s="2"/>
      <c r="B211" s="1">
        <v>16</v>
      </c>
      <c r="C211">
        <v>1</v>
      </c>
      <c r="D211">
        <v>0.2</v>
      </c>
      <c r="E211">
        <v>1</v>
      </c>
      <c r="F211">
        <v>1</v>
      </c>
    </row>
    <row r="212" spans="1:6" x14ac:dyDescent="0.35">
      <c r="A212" s="2"/>
      <c r="B212" s="1">
        <v>17</v>
      </c>
      <c r="C212">
        <v>1</v>
      </c>
      <c r="D212">
        <v>0.2</v>
      </c>
      <c r="E212">
        <v>1</v>
      </c>
      <c r="F212">
        <v>1</v>
      </c>
    </row>
    <row r="213" spans="1:6" x14ac:dyDescent="0.35">
      <c r="A213" s="2"/>
      <c r="B213" s="1">
        <v>18</v>
      </c>
      <c r="C213">
        <v>1</v>
      </c>
      <c r="D213">
        <v>0.2</v>
      </c>
      <c r="E213">
        <v>1</v>
      </c>
      <c r="F213">
        <v>1</v>
      </c>
    </row>
    <row r="214" spans="1:6" x14ac:dyDescent="0.35">
      <c r="A214" s="2"/>
      <c r="B214" s="1">
        <v>19</v>
      </c>
      <c r="C214">
        <v>1</v>
      </c>
      <c r="D214">
        <v>0.2</v>
      </c>
      <c r="E214">
        <v>1</v>
      </c>
      <c r="F214">
        <v>1</v>
      </c>
    </row>
    <row r="215" spans="1:6" x14ac:dyDescent="0.35">
      <c r="A215" s="2"/>
      <c r="B215" s="1">
        <v>20</v>
      </c>
      <c r="C215">
        <v>1</v>
      </c>
      <c r="D215">
        <v>0.2</v>
      </c>
      <c r="E215">
        <v>1</v>
      </c>
      <c r="F215">
        <v>1</v>
      </c>
    </row>
    <row r="216" spans="1:6" x14ac:dyDescent="0.35">
      <c r="A216" s="2"/>
      <c r="B216" s="1">
        <v>21</v>
      </c>
      <c r="C216">
        <v>1</v>
      </c>
      <c r="D216">
        <v>0.2</v>
      </c>
      <c r="E216">
        <v>1</v>
      </c>
      <c r="F216">
        <v>1</v>
      </c>
    </row>
    <row r="217" spans="1:6" x14ac:dyDescent="0.35">
      <c r="A217" s="2"/>
      <c r="B217" s="1">
        <v>22</v>
      </c>
      <c r="C217">
        <v>1</v>
      </c>
      <c r="D217">
        <v>0.2</v>
      </c>
      <c r="E217">
        <v>1</v>
      </c>
      <c r="F217">
        <v>1</v>
      </c>
    </row>
    <row r="218" spans="1:6" x14ac:dyDescent="0.35">
      <c r="A218" s="2"/>
      <c r="B218" s="1">
        <v>23</v>
      </c>
      <c r="C218">
        <v>1</v>
      </c>
      <c r="D218">
        <v>0.2</v>
      </c>
      <c r="E218">
        <v>1</v>
      </c>
      <c r="F218">
        <v>1</v>
      </c>
    </row>
    <row r="219" spans="1:6" x14ac:dyDescent="0.35">
      <c r="A219" s="2"/>
      <c r="B219" s="1">
        <v>24</v>
      </c>
      <c r="C219">
        <v>1</v>
      </c>
      <c r="D219">
        <v>0.2</v>
      </c>
      <c r="E219">
        <v>1</v>
      </c>
      <c r="F219">
        <v>1</v>
      </c>
    </row>
    <row r="220" spans="1:6" x14ac:dyDescent="0.35">
      <c r="A220" s="2" t="s">
        <v>19</v>
      </c>
      <c r="B220" s="1">
        <v>1</v>
      </c>
      <c r="C220">
        <v>1</v>
      </c>
      <c r="D220">
        <v>0.2</v>
      </c>
      <c r="E220">
        <v>1</v>
      </c>
      <c r="F220">
        <v>1</v>
      </c>
    </row>
    <row r="221" spans="1:6" x14ac:dyDescent="0.35">
      <c r="A221" s="2"/>
      <c r="B221" s="1">
        <v>2</v>
      </c>
      <c r="C221">
        <v>1</v>
      </c>
      <c r="D221">
        <v>0.2</v>
      </c>
      <c r="E221">
        <v>1</v>
      </c>
      <c r="F221">
        <v>1</v>
      </c>
    </row>
    <row r="222" spans="1:6" x14ac:dyDescent="0.35">
      <c r="A222" s="2"/>
      <c r="B222" s="1">
        <v>3</v>
      </c>
      <c r="C222">
        <v>1</v>
      </c>
      <c r="D222">
        <v>0.2</v>
      </c>
      <c r="E222">
        <v>1</v>
      </c>
      <c r="F222">
        <v>1</v>
      </c>
    </row>
    <row r="223" spans="1:6" x14ac:dyDescent="0.35">
      <c r="A223" s="2"/>
      <c r="B223" s="1">
        <v>4</v>
      </c>
      <c r="C223">
        <v>1</v>
      </c>
      <c r="D223">
        <v>0.2</v>
      </c>
      <c r="E223">
        <v>1</v>
      </c>
      <c r="F223">
        <v>1</v>
      </c>
    </row>
    <row r="224" spans="1:6" x14ac:dyDescent="0.35">
      <c r="A224" s="2"/>
      <c r="B224" s="1">
        <v>5</v>
      </c>
      <c r="C224">
        <v>1</v>
      </c>
      <c r="D224">
        <v>0.2</v>
      </c>
      <c r="E224">
        <v>1</v>
      </c>
      <c r="F224">
        <v>1</v>
      </c>
    </row>
    <row r="225" spans="1:6" x14ac:dyDescent="0.35">
      <c r="A225" s="2"/>
      <c r="B225" s="1">
        <v>6</v>
      </c>
      <c r="C225">
        <v>1</v>
      </c>
      <c r="D225">
        <v>0.2</v>
      </c>
      <c r="E225">
        <v>1</v>
      </c>
      <c r="F225">
        <v>1</v>
      </c>
    </row>
    <row r="226" spans="1:6" x14ac:dyDescent="0.35">
      <c r="A226" s="2"/>
      <c r="B226" s="1">
        <v>7</v>
      </c>
      <c r="C226">
        <v>1</v>
      </c>
      <c r="D226">
        <v>0.2</v>
      </c>
      <c r="E226">
        <v>1</v>
      </c>
      <c r="F226">
        <v>1</v>
      </c>
    </row>
    <row r="227" spans="1:6" x14ac:dyDescent="0.35">
      <c r="A227" s="2"/>
      <c r="B227" s="1">
        <v>8</v>
      </c>
      <c r="C227">
        <v>1</v>
      </c>
      <c r="D227">
        <v>0.2</v>
      </c>
      <c r="E227">
        <v>1</v>
      </c>
      <c r="F227">
        <v>1</v>
      </c>
    </row>
    <row r="228" spans="1:6" x14ac:dyDescent="0.35">
      <c r="A228" s="2"/>
      <c r="B228" s="1">
        <v>9</v>
      </c>
      <c r="C228">
        <v>1</v>
      </c>
      <c r="D228">
        <v>0.2</v>
      </c>
      <c r="E228">
        <v>1</v>
      </c>
      <c r="F228">
        <v>1</v>
      </c>
    </row>
    <row r="229" spans="1:6" x14ac:dyDescent="0.35">
      <c r="A229" s="2"/>
      <c r="B229" s="1">
        <v>10</v>
      </c>
      <c r="C229">
        <v>1</v>
      </c>
      <c r="D229">
        <v>0.2</v>
      </c>
      <c r="E229">
        <v>1</v>
      </c>
      <c r="F229">
        <v>1</v>
      </c>
    </row>
    <row r="230" spans="1:6" x14ac:dyDescent="0.35">
      <c r="A230" s="2"/>
      <c r="B230" s="1">
        <v>11</v>
      </c>
      <c r="C230">
        <v>1</v>
      </c>
      <c r="D230">
        <v>0.2</v>
      </c>
      <c r="E230">
        <v>1</v>
      </c>
      <c r="F230">
        <v>1</v>
      </c>
    </row>
    <row r="231" spans="1:6" x14ac:dyDescent="0.35">
      <c r="A231" s="2"/>
      <c r="B231" s="1">
        <v>12</v>
      </c>
      <c r="C231">
        <v>1</v>
      </c>
      <c r="D231">
        <v>0.2</v>
      </c>
      <c r="E231">
        <v>1</v>
      </c>
      <c r="F231">
        <v>1</v>
      </c>
    </row>
    <row r="232" spans="1:6" x14ac:dyDescent="0.35">
      <c r="A232" s="2"/>
      <c r="B232" s="1">
        <v>13</v>
      </c>
      <c r="C232">
        <v>1</v>
      </c>
      <c r="D232">
        <v>0.2</v>
      </c>
      <c r="E232">
        <v>1</v>
      </c>
      <c r="F232">
        <v>1</v>
      </c>
    </row>
    <row r="233" spans="1:6" x14ac:dyDescent="0.35">
      <c r="A233" s="2"/>
      <c r="B233" s="1">
        <v>14</v>
      </c>
      <c r="C233">
        <v>1</v>
      </c>
      <c r="D233">
        <v>0.2</v>
      </c>
      <c r="E233">
        <v>1</v>
      </c>
      <c r="F233">
        <v>1</v>
      </c>
    </row>
    <row r="234" spans="1:6" x14ac:dyDescent="0.35">
      <c r="A234" s="2"/>
      <c r="B234" s="1">
        <v>15</v>
      </c>
      <c r="C234">
        <v>1</v>
      </c>
      <c r="D234">
        <v>0.2</v>
      </c>
      <c r="E234">
        <v>1</v>
      </c>
      <c r="F234">
        <v>1</v>
      </c>
    </row>
    <row r="235" spans="1:6" x14ac:dyDescent="0.35">
      <c r="A235" s="2"/>
      <c r="B235" s="1">
        <v>16</v>
      </c>
      <c r="C235">
        <v>1</v>
      </c>
      <c r="D235">
        <v>0.2</v>
      </c>
      <c r="E235">
        <v>1</v>
      </c>
      <c r="F235">
        <v>1</v>
      </c>
    </row>
    <row r="236" spans="1:6" x14ac:dyDescent="0.35">
      <c r="A236" s="2"/>
      <c r="B236" s="1">
        <v>17</v>
      </c>
      <c r="C236">
        <v>1</v>
      </c>
      <c r="D236">
        <v>0.2</v>
      </c>
      <c r="E236">
        <v>1</v>
      </c>
      <c r="F236">
        <v>1</v>
      </c>
    </row>
    <row r="237" spans="1:6" x14ac:dyDescent="0.35">
      <c r="A237" s="2"/>
      <c r="B237" s="1">
        <v>18</v>
      </c>
      <c r="C237">
        <v>1</v>
      </c>
      <c r="D237">
        <v>0.2</v>
      </c>
      <c r="E237">
        <v>1</v>
      </c>
      <c r="F237">
        <v>1</v>
      </c>
    </row>
    <row r="238" spans="1:6" x14ac:dyDescent="0.35">
      <c r="A238" s="2"/>
      <c r="B238" s="1">
        <v>19</v>
      </c>
      <c r="C238">
        <v>1</v>
      </c>
      <c r="D238">
        <v>0.2</v>
      </c>
      <c r="E238">
        <v>1</v>
      </c>
      <c r="F238">
        <v>1</v>
      </c>
    </row>
    <row r="239" spans="1:6" x14ac:dyDescent="0.35">
      <c r="A239" s="2"/>
      <c r="B239" s="1">
        <v>20</v>
      </c>
      <c r="C239">
        <v>1</v>
      </c>
      <c r="D239">
        <v>0.2</v>
      </c>
      <c r="E239">
        <v>1</v>
      </c>
      <c r="F239">
        <v>1</v>
      </c>
    </row>
    <row r="240" spans="1:6" x14ac:dyDescent="0.35">
      <c r="A240" s="2"/>
      <c r="B240" s="1">
        <v>21</v>
      </c>
      <c r="C240">
        <v>1</v>
      </c>
      <c r="D240">
        <v>0.2</v>
      </c>
      <c r="E240">
        <v>1</v>
      </c>
      <c r="F240">
        <v>1</v>
      </c>
    </row>
    <row r="241" spans="1:6" x14ac:dyDescent="0.35">
      <c r="A241" s="2"/>
      <c r="B241" s="1">
        <v>22</v>
      </c>
      <c r="C241">
        <v>1</v>
      </c>
      <c r="D241">
        <v>0.2</v>
      </c>
      <c r="E241">
        <v>1</v>
      </c>
      <c r="F241">
        <v>1</v>
      </c>
    </row>
    <row r="242" spans="1:6" x14ac:dyDescent="0.35">
      <c r="A242" s="2"/>
      <c r="B242" s="1">
        <v>23</v>
      </c>
      <c r="C242">
        <v>1</v>
      </c>
      <c r="D242">
        <v>0.2</v>
      </c>
      <c r="E242">
        <v>1</v>
      </c>
      <c r="F242">
        <v>1</v>
      </c>
    </row>
    <row r="243" spans="1:6" x14ac:dyDescent="0.35">
      <c r="A243" s="2"/>
      <c r="B243" s="1">
        <v>24</v>
      </c>
      <c r="C243">
        <v>1</v>
      </c>
      <c r="D243">
        <v>0.2</v>
      </c>
      <c r="E243">
        <v>1</v>
      </c>
      <c r="F243">
        <v>1</v>
      </c>
    </row>
    <row r="244" spans="1:6" x14ac:dyDescent="0.35">
      <c r="A244" s="2" t="s">
        <v>20</v>
      </c>
      <c r="B244" s="1">
        <v>1</v>
      </c>
      <c r="C244">
        <v>1</v>
      </c>
      <c r="D244">
        <v>0.2</v>
      </c>
      <c r="E244">
        <v>1</v>
      </c>
      <c r="F244">
        <v>1</v>
      </c>
    </row>
    <row r="245" spans="1:6" x14ac:dyDescent="0.35">
      <c r="A245" s="2"/>
      <c r="B245" s="1">
        <v>2</v>
      </c>
      <c r="C245">
        <v>1</v>
      </c>
      <c r="D245">
        <v>0.2</v>
      </c>
      <c r="E245">
        <v>1</v>
      </c>
      <c r="F245">
        <v>1</v>
      </c>
    </row>
    <row r="246" spans="1:6" x14ac:dyDescent="0.35">
      <c r="A246" s="2"/>
      <c r="B246" s="1">
        <v>3</v>
      </c>
      <c r="C246">
        <v>1</v>
      </c>
      <c r="D246">
        <v>0.2</v>
      </c>
      <c r="E246">
        <v>1</v>
      </c>
      <c r="F246">
        <v>1</v>
      </c>
    </row>
    <row r="247" spans="1:6" x14ac:dyDescent="0.35">
      <c r="A247" s="2"/>
      <c r="B247" s="1">
        <v>4</v>
      </c>
      <c r="C247">
        <v>1</v>
      </c>
      <c r="D247">
        <v>0.2</v>
      </c>
      <c r="E247">
        <v>1</v>
      </c>
      <c r="F247">
        <v>1</v>
      </c>
    </row>
    <row r="248" spans="1:6" x14ac:dyDescent="0.35">
      <c r="A248" s="2"/>
      <c r="B248" s="1">
        <v>5</v>
      </c>
      <c r="C248">
        <v>1</v>
      </c>
      <c r="D248">
        <v>0.2</v>
      </c>
      <c r="E248">
        <v>1</v>
      </c>
      <c r="F248">
        <v>1</v>
      </c>
    </row>
    <row r="249" spans="1:6" x14ac:dyDescent="0.35">
      <c r="A249" s="2"/>
      <c r="B249" s="1">
        <v>6</v>
      </c>
      <c r="C249">
        <v>1</v>
      </c>
      <c r="D249">
        <v>0.2</v>
      </c>
      <c r="E249">
        <v>1</v>
      </c>
      <c r="F249">
        <v>1</v>
      </c>
    </row>
    <row r="250" spans="1:6" x14ac:dyDescent="0.35">
      <c r="A250" s="2"/>
      <c r="B250" s="1">
        <v>7</v>
      </c>
      <c r="C250">
        <v>1</v>
      </c>
      <c r="D250">
        <v>0.2</v>
      </c>
      <c r="E250">
        <v>1</v>
      </c>
      <c r="F250">
        <v>1</v>
      </c>
    </row>
    <row r="251" spans="1:6" x14ac:dyDescent="0.35">
      <c r="A251" s="2"/>
      <c r="B251" s="1">
        <v>8</v>
      </c>
      <c r="C251">
        <v>1</v>
      </c>
      <c r="D251">
        <v>0.2</v>
      </c>
      <c r="E251">
        <v>1</v>
      </c>
      <c r="F251">
        <v>1</v>
      </c>
    </row>
    <row r="252" spans="1:6" x14ac:dyDescent="0.35">
      <c r="A252" s="2"/>
      <c r="B252" s="1">
        <v>9</v>
      </c>
      <c r="C252">
        <v>1</v>
      </c>
      <c r="D252">
        <v>0.2</v>
      </c>
      <c r="E252">
        <v>1</v>
      </c>
      <c r="F252">
        <v>1</v>
      </c>
    </row>
    <row r="253" spans="1:6" x14ac:dyDescent="0.35">
      <c r="A253" s="2"/>
      <c r="B253" s="1">
        <v>10</v>
      </c>
      <c r="C253">
        <v>1</v>
      </c>
      <c r="D253">
        <v>0.2</v>
      </c>
      <c r="E253">
        <v>1</v>
      </c>
      <c r="F253">
        <v>1</v>
      </c>
    </row>
    <row r="254" spans="1:6" x14ac:dyDescent="0.35">
      <c r="A254" s="2"/>
      <c r="B254" s="1">
        <v>11</v>
      </c>
      <c r="C254">
        <v>1</v>
      </c>
      <c r="D254">
        <v>0.2</v>
      </c>
      <c r="E254">
        <v>1</v>
      </c>
      <c r="F254">
        <v>1</v>
      </c>
    </row>
    <row r="255" spans="1:6" x14ac:dyDescent="0.35">
      <c r="A255" s="2"/>
      <c r="B255" s="1">
        <v>12</v>
      </c>
      <c r="C255">
        <v>1</v>
      </c>
      <c r="D255">
        <v>0.2</v>
      </c>
      <c r="E255">
        <v>1</v>
      </c>
      <c r="F255">
        <v>1</v>
      </c>
    </row>
    <row r="256" spans="1:6" x14ac:dyDescent="0.35">
      <c r="A256" s="2"/>
      <c r="B256" s="1">
        <v>13</v>
      </c>
      <c r="C256">
        <v>1</v>
      </c>
      <c r="D256">
        <v>0.2</v>
      </c>
      <c r="E256">
        <v>1</v>
      </c>
      <c r="F256">
        <v>1</v>
      </c>
    </row>
    <row r="257" spans="1:6" x14ac:dyDescent="0.35">
      <c r="A257" s="2"/>
      <c r="B257" s="1">
        <v>14</v>
      </c>
      <c r="C257">
        <v>1</v>
      </c>
      <c r="D257">
        <v>0.2</v>
      </c>
      <c r="E257">
        <v>1</v>
      </c>
      <c r="F257">
        <v>1</v>
      </c>
    </row>
    <row r="258" spans="1:6" x14ac:dyDescent="0.35">
      <c r="A258" s="2"/>
      <c r="B258" s="1">
        <v>15</v>
      </c>
      <c r="C258">
        <v>1</v>
      </c>
      <c r="D258">
        <v>0.2</v>
      </c>
      <c r="E258">
        <v>1</v>
      </c>
      <c r="F258">
        <v>1</v>
      </c>
    </row>
    <row r="259" spans="1:6" x14ac:dyDescent="0.35">
      <c r="A259" s="2"/>
      <c r="B259" s="1">
        <v>16</v>
      </c>
      <c r="C259">
        <v>1</v>
      </c>
      <c r="D259">
        <v>0.2</v>
      </c>
      <c r="E259">
        <v>1</v>
      </c>
      <c r="F259">
        <v>1</v>
      </c>
    </row>
    <row r="260" spans="1:6" x14ac:dyDescent="0.35">
      <c r="A260" s="2"/>
      <c r="B260" s="1">
        <v>17</v>
      </c>
      <c r="C260">
        <v>1</v>
      </c>
      <c r="D260">
        <v>0.2</v>
      </c>
      <c r="E260">
        <v>1</v>
      </c>
      <c r="F260">
        <v>1</v>
      </c>
    </row>
    <row r="261" spans="1:6" x14ac:dyDescent="0.35">
      <c r="A261" s="2"/>
      <c r="B261" s="1">
        <v>18</v>
      </c>
      <c r="C261">
        <v>1</v>
      </c>
      <c r="D261">
        <v>0.2</v>
      </c>
      <c r="E261">
        <v>1</v>
      </c>
      <c r="F261">
        <v>1</v>
      </c>
    </row>
    <row r="262" spans="1:6" x14ac:dyDescent="0.35">
      <c r="A262" s="2"/>
      <c r="B262" s="1">
        <v>19</v>
      </c>
      <c r="C262">
        <v>1</v>
      </c>
      <c r="D262">
        <v>0.2</v>
      </c>
      <c r="E262">
        <v>1</v>
      </c>
      <c r="F262">
        <v>1</v>
      </c>
    </row>
    <row r="263" spans="1:6" x14ac:dyDescent="0.35">
      <c r="A263" s="2"/>
      <c r="B263" s="1">
        <v>20</v>
      </c>
      <c r="C263">
        <v>1</v>
      </c>
      <c r="D263">
        <v>0.2</v>
      </c>
      <c r="E263">
        <v>1</v>
      </c>
      <c r="F263">
        <v>1</v>
      </c>
    </row>
    <row r="264" spans="1:6" x14ac:dyDescent="0.35">
      <c r="A264" s="2"/>
      <c r="B264" s="1">
        <v>21</v>
      </c>
      <c r="C264">
        <v>1</v>
      </c>
      <c r="D264">
        <v>0.2</v>
      </c>
      <c r="E264">
        <v>1</v>
      </c>
      <c r="F264">
        <v>1</v>
      </c>
    </row>
    <row r="265" spans="1:6" x14ac:dyDescent="0.35">
      <c r="A265" s="2"/>
      <c r="B265" s="1">
        <v>22</v>
      </c>
      <c r="C265">
        <v>1</v>
      </c>
      <c r="D265">
        <v>0.2</v>
      </c>
      <c r="E265">
        <v>1</v>
      </c>
      <c r="F265">
        <v>1</v>
      </c>
    </row>
    <row r="266" spans="1:6" x14ac:dyDescent="0.35">
      <c r="A266" s="2"/>
      <c r="B266" s="1">
        <v>23</v>
      </c>
      <c r="C266">
        <v>1</v>
      </c>
      <c r="D266">
        <v>0.2</v>
      </c>
      <c r="E266">
        <v>1</v>
      </c>
      <c r="F266">
        <v>1</v>
      </c>
    </row>
    <row r="267" spans="1:6" x14ac:dyDescent="0.35">
      <c r="A267" s="2"/>
      <c r="B267" s="1">
        <v>24</v>
      </c>
      <c r="C267">
        <v>1</v>
      </c>
      <c r="D267">
        <v>0.2</v>
      </c>
      <c r="E267">
        <v>1</v>
      </c>
      <c r="F267">
        <v>1</v>
      </c>
    </row>
  </sheetData>
  <mergeCells count="12">
    <mergeCell ref="A244:A267"/>
    <mergeCell ref="A28:A51"/>
    <mergeCell ref="A124:A147"/>
    <mergeCell ref="A148:A171"/>
    <mergeCell ref="A172:A195"/>
    <mergeCell ref="A196:A219"/>
    <mergeCell ref="A220:A243"/>
    <mergeCell ref="C1:D1"/>
    <mergeCell ref="A52:A75"/>
    <mergeCell ref="A4:A27"/>
    <mergeCell ref="A100:A123"/>
    <mergeCell ref="A76:A9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  <row r="14" spans="1:5" x14ac:dyDescent="0.35">
      <c r="A14" s="1" t="s">
        <v>20</v>
      </c>
      <c r="B14">
        <v>0</v>
      </c>
      <c r="C14">
        <v>0</v>
      </c>
      <c r="D14">
        <v>0</v>
      </c>
      <c r="E14">
        <v>0</v>
      </c>
    </row>
  </sheetData>
  <mergeCells count="1">
    <mergeCell ref="B1:C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10000000000</v>
      </c>
      <c r="C4">
        <v>10000000000</v>
      </c>
      <c r="D4">
        <v>10000000000</v>
      </c>
      <c r="E4">
        <v>10000000000</v>
      </c>
    </row>
    <row r="5" spans="1:5" x14ac:dyDescent="0.35">
      <c r="A5" s="1" t="s">
        <v>11</v>
      </c>
      <c r="B5">
        <v>10000000000</v>
      </c>
      <c r="C5">
        <v>10000000000</v>
      </c>
      <c r="D5">
        <v>10000000000</v>
      </c>
      <c r="E5">
        <v>10000000000</v>
      </c>
    </row>
    <row r="6" spans="1:5" x14ac:dyDescent="0.35">
      <c r="A6" s="1" t="s">
        <v>12</v>
      </c>
      <c r="B6">
        <v>10000000000</v>
      </c>
      <c r="C6">
        <v>10000000000</v>
      </c>
      <c r="D6">
        <v>10000000000</v>
      </c>
      <c r="E6">
        <v>10000000000</v>
      </c>
    </row>
    <row r="7" spans="1:5" x14ac:dyDescent="0.35">
      <c r="A7" s="1" t="s">
        <v>13</v>
      </c>
      <c r="B7">
        <v>10000000000</v>
      </c>
      <c r="C7">
        <v>10000000000</v>
      </c>
      <c r="D7">
        <v>10000000000</v>
      </c>
      <c r="E7">
        <v>10000000000</v>
      </c>
    </row>
    <row r="8" spans="1:5" x14ac:dyDescent="0.35">
      <c r="A8" s="1" t="s">
        <v>14</v>
      </c>
      <c r="B8">
        <v>10000000000</v>
      </c>
      <c r="C8">
        <v>10000000000</v>
      </c>
      <c r="D8">
        <v>10000000000</v>
      </c>
      <c r="E8">
        <v>10000000000</v>
      </c>
    </row>
    <row r="9" spans="1:5" x14ac:dyDescent="0.35">
      <c r="A9" s="1" t="s">
        <v>15</v>
      </c>
      <c r="B9">
        <v>10000000000</v>
      </c>
      <c r="C9">
        <v>10000000000</v>
      </c>
      <c r="D9">
        <v>10000000000</v>
      </c>
      <c r="E9">
        <v>10000000000</v>
      </c>
    </row>
    <row r="10" spans="1:5" x14ac:dyDescent="0.35">
      <c r="A10" s="1" t="s">
        <v>16</v>
      </c>
      <c r="B10">
        <v>10000000000</v>
      </c>
      <c r="C10">
        <v>10000000000</v>
      </c>
      <c r="D10">
        <v>10000000000</v>
      </c>
      <c r="E10">
        <v>10000000000</v>
      </c>
    </row>
    <row r="11" spans="1:5" x14ac:dyDescent="0.35">
      <c r="A11" s="1" t="s">
        <v>17</v>
      </c>
      <c r="B11">
        <v>10000000000</v>
      </c>
      <c r="C11">
        <v>10000000000</v>
      </c>
      <c r="D11">
        <v>10000000000</v>
      </c>
      <c r="E11">
        <v>10000000000</v>
      </c>
    </row>
    <row r="12" spans="1:5" x14ac:dyDescent="0.35">
      <c r="A12" s="1" t="s">
        <v>18</v>
      </c>
      <c r="B12">
        <v>10000000000</v>
      </c>
      <c r="C12">
        <v>10000000000</v>
      </c>
      <c r="D12">
        <v>10000000000</v>
      </c>
      <c r="E12">
        <v>10000000000</v>
      </c>
    </row>
    <row r="13" spans="1:5" x14ac:dyDescent="0.35">
      <c r="A13" s="1" t="s">
        <v>19</v>
      </c>
      <c r="B13">
        <v>10000000000</v>
      </c>
      <c r="C13">
        <v>10000000000</v>
      </c>
      <c r="D13">
        <v>10000000000</v>
      </c>
      <c r="E13">
        <v>10000000000</v>
      </c>
    </row>
    <row r="14" spans="1:5" x14ac:dyDescent="0.35">
      <c r="A14" s="1" t="s">
        <v>20</v>
      </c>
      <c r="B14">
        <v>10000000000</v>
      </c>
      <c r="C14">
        <v>10000000000</v>
      </c>
      <c r="D14">
        <v>10000000000</v>
      </c>
      <c r="E14">
        <v>10000000000</v>
      </c>
    </row>
  </sheetData>
  <mergeCells count="1">
    <mergeCell ref="B1:C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  <row r="14" spans="1:5" x14ac:dyDescent="0.35">
      <c r="A14" s="1" t="s">
        <v>20</v>
      </c>
      <c r="B14">
        <v>0</v>
      </c>
      <c r="C14">
        <v>0</v>
      </c>
      <c r="D14">
        <v>0</v>
      </c>
      <c r="E14">
        <v>0</v>
      </c>
    </row>
  </sheetData>
  <mergeCells count="1">
    <mergeCell ref="B1:C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10000000000</v>
      </c>
      <c r="C4">
        <v>10000000000</v>
      </c>
      <c r="D4">
        <v>10000000000</v>
      </c>
      <c r="E4">
        <v>10000000000</v>
      </c>
    </row>
    <row r="5" spans="1:5" x14ac:dyDescent="0.35">
      <c r="A5" s="1" t="s">
        <v>11</v>
      </c>
      <c r="B5">
        <v>10000000000</v>
      </c>
      <c r="C5">
        <v>10000000000</v>
      </c>
      <c r="D5">
        <v>10000000000</v>
      </c>
      <c r="E5">
        <v>10000000000</v>
      </c>
    </row>
    <row r="6" spans="1:5" x14ac:dyDescent="0.35">
      <c r="A6" s="1" t="s">
        <v>12</v>
      </c>
      <c r="B6">
        <v>10000000000</v>
      </c>
      <c r="C6">
        <v>10000000000</v>
      </c>
      <c r="D6">
        <v>10000000000</v>
      </c>
      <c r="E6">
        <v>10000000000</v>
      </c>
    </row>
    <row r="7" spans="1:5" x14ac:dyDescent="0.35">
      <c r="A7" s="1" t="s">
        <v>13</v>
      </c>
      <c r="B7">
        <v>10000000000</v>
      </c>
      <c r="C7">
        <v>10000000000</v>
      </c>
      <c r="D7">
        <v>10000000000</v>
      </c>
      <c r="E7">
        <v>10000000000</v>
      </c>
    </row>
    <row r="8" spans="1:5" x14ac:dyDescent="0.35">
      <c r="A8" s="1" t="s">
        <v>14</v>
      </c>
      <c r="B8">
        <v>10000000000</v>
      </c>
      <c r="C8">
        <v>10000000000</v>
      </c>
      <c r="D8">
        <v>10000000000</v>
      </c>
      <c r="E8">
        <v>10000000000</v>
      </c>
    </row>
    <row r="9" spans="1:5" x14ac:dyDescent="0.35">
      <c r="A9" s="1" t="s">
        <v>15</v>
      </c>
      <c r="B9">
        <v>10000000000</v>
      </c>
      <c r="C9">
        <v>10000000000</v>
      </c>
      <c r="D9">
        <v>10000000000</v>
      </c>
      <c r="E9">
        <v>10000000000</v>
      </c>
    </row>
    <row r="10" spans="1:5" x14ac:dyDescent="0.35">
      <c r="A10" s="1" t="s">
        <v>16</v>
      </c>
      <c r="B10">
        <v>10000000000</v>
      </c>
      <c r="C10">
        <v>10000000000</v>
      </c>
      <c r="D10">
        <v>10000000000</v>
      </c>
      <c r="E10">
        <v>10000000000</v>
      </c>
    </row>
    <row r="11" spans="1:5" x14ac:dyDescent="0.35">
      <c r="A11" s="1" t="s">
        <v>17</v>
      </c>
      <c r="B11">
        <v>10000000000</v>
      </c>
      <c r="C11">
        <v>10000000000</v>
      </c>
      <c r="D11">
        <v>10000000000</v>
      </c>
      <c r="E11">
        <v>10000000000</v>
      </c>
    </row>
    <row r="12" spans="1:5" x14ac:dyDescent="0.35">
      <c r="A12" s="1" t="s">
        <v>18</v>
      </c>
      <c r="B12">
        <v>10000000000</v>
      </c>
      <c r="C12">
        <v>10000000000</v>
      </c>
      <c r="D12">
        <v>10000000000</v>
      </c>
      <c r="E12">
        <v>10000000000</v>
      </c>
    </row>
    <row r="13" spans="1:5" x14ac:dyDescent="0.35">
      <c r="A13" s="1" t="s">
        <v>19</v>
      </c>
      <c r="B13">
        <v>10000000000</v>
      </c>
      <c r="C13">
        <v>10000000000</v>
      </c>
      <c r="D13">
        <v>10000000000</v>
      </c>
      <c r="E13">
        <v>10000000000</v>
      </c>
    </row>
    <row r="14" spans="1:5" x14ac:dyDescent="0.35">
      <c r="A14" s="1" t="s">
        <v>20</v>
      </c>
      <c r="B14">
        <v>10000000000</v>
      </c>
      <c r="C14">
        <v>10000000000</v>
      </c>
      <c r="D14">
        <v>10000000000</v>
      </c>
      <c r="E14">
        <v>10000000000</v>
      </c>
    </row>
  </sheetData>
  <mergeCells count="1">
    <mergeCell ref="B1:C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4"/>
  <sheetViews>
    <sheetView zoomScale="145" zoomScaleNormal="145" workbookViewId="0">
      <selection activeCell="D4" sqref="D4:D14"/>
    </sheetView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</v>
      </c>
      <c r="C4">
        <v>1</v>
      </c>
      <c r="D4">
        <v>0.4</v>
      </c>
      <c r="E4">
        <v>0.9</v>
      </c>
    </row>
    <row r="5" spans="1:5" x14ac:dyDescent="0.35">
      <c r="A5" s="1" t="s">
        <v>11</v>
      </c>
      <c r="B5">
        <v>1</v>
      </c>
      <c r="C5">
        <v>1</v>
      </c>
      <c r="D5">
        <v>0.4</v>
      </c>
      <c r="E5">
        <v>0.9</v>
      </c>
    </row>
    <row r="6" spans="1:5" x14ac:dyDescent="0.35">
      <c r="A6" s="1" t="s">
        <v>12</v>
      </c>
      <c r="B6">
        <v>1</v>
      </c>
      <c r="C6">
        <v>1</v>
      </c>
      <c r="D6">
        <v>0.4</v>
      </c>
      <c r="E6">
        <v>0.9</v>
      </c>
    </row>
    <row r="7" spans="1:5" x14ac:dyDescent="0.35">
      <c r="A7" s="1" t="s">
        <v>13</v>
      </c>
      <c r="B7">
        <v>1</v>
      </c>
      <c r="C7">
        <v>1</v>
      </c>
      <c r="D7">
        <v>0.4</v>
      </c>
      <c r="E7">
        <v>0.9</v>
      </c>
    </row>
    <row r="8" spans="1:5" x14ac:dyDescent="0.35">
      <c r="A8" s="1" t="s">
        <v>14</v>
      </c>
      <c r="B8">
        <v>1</v>
      </c>
      <c r="C8">
        <v>1</v>
      </c>
      <c r="D8">
        <v>0.4</v>
      </c>
      <c r="E8">
        <v>0.9</v>
      </c>
    </row>
    <row r="9" spans="1:5" x14ac:dyDescent="0.35">
      <c r="A9" s="1" t="s">
        <v>15</v>
      </c>
      <c r="B9">
        <v>1</v>
      </c>
      <c r="C9">
        <v>1</v>
      </c>
      <c r="D9">
        <v>0.4</v>
      </c>
      <c r="E9">
        <v>0.9</v>
      </c>
    </row>
    <row r="10" spans="1:5" x14ac:dyDescent="0.35">
      <c r="A10" s="1" t="s">
        <v>16</v>
      </c>
      <c r="B10">
        <v>1</v>
      </c>
      <c r="C10">
        <v>1</v>
      </c>
      <c r="D10">
        <v>0.4</v>
      </c>
      <c r="E10">
        <v>0.9</v>
      </c>
    </row>
    <row r="11" spans="1:5" x14ac:dyDescent="0.35">
      <c r="A11" s="1" t="s">
        <v>17</v>
      </c>
      <c r="B11">
        <v>1</v>
      </c>
      <c r="C11">
        <v>1</v>
      </c>
      <c r="D11">
        <v>0.4</v>
      </c>
      <c r="E11">
        <v>0.9</v>
      </c>
    </row>
    <row r="12" spans="1:5" x14ac:dyDescent="0.35">
      <c r="A12" s="1" t="s">
        <v>18</v>
      </c>
      <c r="B12">
        <v>1</v>
      </c>
      <c r="C12">
        <v>1</v>
      </c>
      <c r="D12">
        <v>0.4</v>
      </c>
      <c r="E12">
        <v>0.9</v>
      </c>
    </row>
    <row r="13" spans="1:5" x14ac:dyDescent="0.35">
      <c r="A13" s="1" t="s">
        <v>19</v>
      </c>
      <c r="B13">
        <v>1</v>
      </c>
      <c r="C13">
        <v>1</v>
      </c>
      <c r="D13">
        <v>0.4</v>
      </c>
      <c r="E13">
        <v>0.9</v>
      </c>
    </row>
    <row r="14" spans="1:5" x14ac:dyDescent="0.35">
      <c r="A14" s="1" t="s">
        <v>20</v>
      </c>
      <c r="B14">
        <v>1</v>
      </c>
      <c r="C14">
        <v>1</v>
      </c>
      <c r="D14">
        <v>0.4</v>
      </c>
      <c r="E14">
        <v>0.9</v>
      </c>
    </row>
  </sheetData>
  <mergeCells count="1">
    <mergeCell ref="B1:C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4"/>
  <sheetViews>
    <sheetView workbookViewId="0"/>
  </sheetViews>
  <sheetFormatPr defaultRowHeight="14.5" x14ac:dyDescent="0.35"/>
  <sheetData>
    <row r="1" spans="1:4" x14ac:dyDescent="0.35">
      <c r="A1" s="1" t="s">
        <v>0</v>
      </c>
      <c r="B1" s="2" t="s">
        <v>1</v>
      </c>
      <c r="C1" s="2"/>
      <c r="D1" s="1" t="s">
        <v>2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9</v>
      </c>
    </row>
    <row r="4" spans="1:4" x14ac:dyDescent="0.35">
      <c r="A4" s="1" t="s">
        <v>10</v>
      </c>
      <c r="B4">
        <v>1E+20</v>
      </c>
      <c r="C4">
        <v>1E+20</v>
      </c>
      <c r="D4">
        <v>1E+20</v>
      </c>
    </row>
    <row r="5" spans="1:4" x14ac:dyDescent="0.35">
      <c r="A5" s="1" t="s">
        <v>11</v>
      </c>
      <c r="B5">
        <v>1E+20</v>
      </c>
      <c r="C5">
        <v>1E+20</v>
      </c>
      <c r="D5">
        <v>1E+20</v>
      </c>
    </row>
    <row r="6" spans="1:4" x14ac:dyDescent="0.35">
      <c r="A6" s="1" t="s">
        <v>12</v>
      </c>
      <c r="B6">
        <v>1E+20</v>
      </c>
      <c r="C6">
        <v>1E+20</v>
      </c>
      <c r="D6">
        <v>1E+20</v>
      </c>
    </row>
    <row r="7" spans="1:4" x14ac:dyDescent="0.35">
      <c r="A7" s="1" t="s">
        <v>13</v>
      </c>
      <c r="B7">
        <v>1E+20</v>
      </c>
      <c r="C7">
        <v>1E+20</v>
      </c>
      <c r="D7">
        <v>1E+20</v>
      </c>
    </row>
    <row r="8" spans="1:4" x14ac:dyDescent="0.35">
      <c r="A8" s="1" t="s">
        <v>14</v>
      </c>
      <c r="B8">
        <v>1E+20</v>
      </c>
      <c r="C8">
        <v>1E+20</v>
      </c>
      <c r="D8">
        <v>1E+20</v>
      </c>
    </row>
    <row r="9" spans="1:4" x14ac:dyDescent="0.35">
      <c r="A9" s="1" t="s">
        <v>15</v>
      </c>
      <c r="B9">
        <v>1E+20</v>
      </c>
      <c r="C9">
        <v>1E+20</v>
      </c>
      <c r="D9">
        <v>1E+20</v>
      </c>
    </row>
    <row r="10" spans="1:4" x14ac:dyDescent="0.35">
      <c r="A10" s="1" t="s">
        <v>16</v>
      </c>
      <c r="B10">
        <v>1E+20</v>
      </c>
      <c r="C10">
        <v>1E+20</v>
      </c>
      <c r="D10">
        <v>1E+20</v>
      </c>
    </row>
    <row r="11" spans="1:4" x14ac:dyDescent="0.35">
      <c r="A11" s="1" t="s">
        <v>17</v>
      </c>
      <c r="B11">
        <v>1E+20</v>
      </c>
      <c r="C11">
        <v>1E+20</v>
      </c>
      <c r="D11">
        <v>1E+20</v>
      </c>
    </row>
    <row r="12" spans="1:4" x14ac:dyDescent="0.35">
      <c r="A12" s="1" t="s">
        <v>18</v>
      </c>
      <c r="B12">
        <v>1E+20</v>
      </c>
      <c r="C12">
        <v>1E+20</v>
      </c>
      <c r="D12">
        <v>1E+20</v>
      </c>
    </row>
    <row r="13" spans="1:4" x14ac:dyDescent="0.35">
      <c r="A13" s="1" t="s">
        <v>19</v>
      </c>
      <c r="B13">
        <v>1E+20</v>
      </c>
      <c r="C13">
        <v>1E+20</v>
      </c>
      <c r="D13">
        <v>1E+20</v>
      </c>
    </row>
    <row r="14" spans="1:4" x14ac:dyDescent="0.35">
      <c r="A14" s="1" t="s">
        <v>20</v>
      </c>
      <c r="B14">
        <v>1E+20</v>
      </c>
      <c r="C14">
        <v>1E+20</v>
      </c>
      <c r="D14">
        <v>1E+20</v>
      </c>
    </row>
  </sheetData>
  <mergeCells count="1">
    <mergeCell ref="B1:C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4"/>
  <sheetViews>
    <sheetView workbookViewId="0"/>
  </sheetViews>
  <sheetFormatPr defaultRowHeight="14.5" x14ac:dyDescent="0.35"/>
  <sheetData>
    <row r="1" spans="1:4" x14ac:dyDescent="0.35">
      <c r="A1" s="1" t="s">
        <v>0</v>
      </c>
      <c r="B1" s="2" t="s">
        <v>1</v>
      </c>
      <c r="C1" s="2"/>
      <c r="D1" s="1" t="s">
        <v>2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9</v>
      </c>
    </row>
    <row r="4" spans="1:4" x14ac:dyDescent="0.35">
      <c r="A4" s="1" t="s">
        <v>10</v>
      </c>
      <c r="B4">
        <v>0</v>
      </c>
      <c r="C4">
        <v>0</v>
      </c>
      <c r="D4">
        <v>0</v>
      </c>
    </row>
    <row r="5" spans="1:4" x14ac:dyDescent="0.35">
      <c r="A5" s="1" t="s">
        <v>11</v>
      </c>
      <c r="B5">
        <v>0</v>
      </c>
      <c r="C5">
        <v>0</v>
      </c>
      <c r="D5">
        <v>0</v>
      </c>
    </row>
    <row r="6" spans="1:4" x14ac:dyDescent="0.35">
      <c r="A6" s="1" t="s">
        <v>12</v>
      </c>
      <c r="B6">
        <v>0</v>
      </c>
      <c r="C6">
        <v>0</v>
      </c>
      <c r="D6">
        <v>0</v>
      </c>
    </row>
    <row r="7" spans="1:4" x14ac:dyDescent="0.35">
      <c r="A7" s="1" t="s">
        <v>13</v>
      </c>
      <c r="B7">
        <v>0</v>
      </c>
      <c r="C7">
        <v>0</v>
      </c>
      <c r="D7">
        <v>0</v>
      </c>
    </row>
    <row r="8" spans="1:4" x14ac:dyDescent="0.35">
      <c r="A8" s="1" t="s">
        <v>14</v>
      </c>
      <c r="B8">
        <v>0</v>
      </c>
      <c r="C8">
        <v>0</v>
      </c>
      <c r="D8">
        <v>0</v>
      </c>
    </row>
    <row r="9" spans="1:4" x14ac:dyDescent="0.35">
      <c r="A9" s="1" t="s">
        <v>15</v>
      </c>
      <c r="B9">
        <v>0</v>
      </c>
      <c r="C9">
        <v>0</v>
      </c>
      <c r="D9">
        <v>0</v>
      </c>
    </row>
    <row r="10" spans="1:4" x14ac:dyDescent="0.35">
      <c r="A10" s="1" t="s">
        <v>16</v>
      </c>
      <c r="B10">
        <v>0</v>
      </c>
      <c r="C10">
        <v>0</v>
      </c>
      <c r="D10">
        <v>0</v>
      </c>
    </row>
    <row r="11" spans="1:4" x14ac:dyDescent="0.35">
      <c r="A11" s="1" t="s">
        <v>17</v>
      </c>
      <c r="B11">
        <v>0</v>
      </c>
      <c r="C11">
        <v>0</v>
      </c>
      <c r="D11">
        <v>0</v>
      </c>
    </row>
    <row r="12" spans="1:4" x14ac:dyDescent="0.35">
      <c r="A12" s="1" t="s">
        <v>18</v>
      </c>
      <c r="B12">
        <v>0</v>
      </c>
      <c r="C12">
        <v>0</v>
      </c>
      <c r="D12">
        <v>0</v>
      </c>
    </row>
    <row r="13" spans="1:4" x14ac:dyDescent="0.35">
      <c r="A13" s="1" t="s">
        <v>19</v>
      </c>
      <c r="B13">
        <v>0</v>
      </c>
      <c r="C13">
        <v>0</v>
      </c>
      <c r="D13">
        <v>0</v>
      </c>
    </row>
    <row r="14" spans="1:4" x14ac:dyDescent="0.35">
      <c r="A14" s="1" t="s">
        <v>20</v>
      </c>
      <c r="B14">
        <v>0</v>
      </c>
      <c r="C14">
        <v>0</v>
      </c>
      <c r="D14">
        <v>0</v>
      </c>
    </row>
  </sheetData>
  <mergeCells count="1">
    <mergeCell ref="B1:C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14"/>
  <sheetViews>
    <sheetView workbookViewId="0"/>
  </sheetViews>
  <sheetFormatPr defaultRowHeight="14.5" x14ac:dyDescent="0.35"/>
  <sheetData>
    <row r="1" spans="1:4" x14ac:dyDescent="0.35">
      <c r="A1" s="1" t="s">
        <v>0</v>
      </c>
      <c r="B1" s="2" t="s">
        <v>1</v>
      </c>
      <c r="C1" s="2"/>
      <c r="D1" s="1" t="s">
        <v>2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9</v>
      </c>
    </row>
    <row r="4" spans="1:4" x14ac:dyDescent="0.35">
      <c r="A4" s="1" t="s">
        <v>10</v>
      </c>
      <c r="B4">
        <v>1</v>
      </c>
      <c r="C4">
        <v>1</v>
      </c>
      <c r="D4">
        <v>1</v>
      </c>
    </row>
    <row r="5" spans="1:4" x14ac:dyDescent="0.35">
      <c r="A5" s="1" t="s">
        <v>11</v>
      </c>
      <c r="B5">
        <v>1</v>
      </c>
      <c r="C5">
        <v>1</v>
      </c>
      <c r="D5">
        <v>1</v>
      </c>
    </row>
    <row r="6" spans="1:4" x14ac:dyDescent="0.35">
      <c r="A6" s="1" t="s">
        <v>12</v>
      </c>
      <c r="B6">
        <v>1</v>
      </c>
      <c r="C6">
        <v>1</v>
      </c>
      <c r="D6">
        <v>1</v>
      </c>
    </row>
    <row r="7" spans="1:4" x14ac:dyDescent="0.35">
      <c r="A7" s="1" t="s">
        <v>13</v>
      </c>
      <c r="B7">
        <v>1</v>
      </c>
      <c r="C7">
        <v>1</v>
      </c>
      <c r="D7">
        <v>1</v>
      </c>
    </row>
    <row r="8" spans="1:4" x14ac:dyDescent="0.35">
      <c r="A8" s="1" t="s">
        <v>14</v>
      </c>
      <c r="B8">
        <v>1</v>
      </c>
      <c r="C8">
        <v>1</v>
      </c>
      <c r="D8">
        <v>1</v>
      </c>
    </row>
    <row r="9" spans="1:4" x14ac:dyDescent="0.35">
      <c r="A9" s="1" t="s">
        <v>15</v>
      </c>
      <c r="B9">
        <v>1</v>
      </c>
      <c r="C9">
        <v>1</v>
      </c>
      <c r="D9">
        <v>1</v>
      </c>
    </row>
    <row r="10" spans="1:4" x14ac:dyDescent="0.35">
      <c r="A10" s="1" t="s">
        <v>16</v>
      </c>
      <c r="B10">
        <v>1</v>
      </c>
      <c r="C10">
        <v>1</v>
      </c>
      <c r="D10">
        <v>1</v>
      </c>
    </row>
    <row r="11" spans="1:4" x14ac:dyDescent="0.35">
      <c r="A11" s="1" t="s">
        <v>17</v>
      </c>
      <c r="B11">
        <v>1</v>
      </c>
      <c r="C11">
        <v>1</v>
      </c>
      <c r="D11">
        <v>1</v>
      </c>
    </row>
    <row r="12" spans="1:4" x14ac:dyDescent="0.35">
      <c r="A12" s="1" t="s">
        <v>18</v>
      </c>
      <c r="B12">
        <v>1</v>
      </c>
      <c r="C12">
        <v>1</v>
      </c>
      <c r="D12">
        <v>1</v>
      </c>
    </row>
    <row r="13" spans="1:4" x14ac:dyDescent="0.35">
      <c r="A13" s="1" t="s">
        <v>19</v>
      </c>
      <c r="B13">
        <v>1</v>
      </c>
      <c r="C13">
        <v>1</v>
      </c>
      <c r="D13">
        <v>1</v>
      </c>
    </row>
    <row r="14" spans="1:4" x14ac:dyDescent="0.35">
      <c r="A14" s="1" t="s">
        <v>20</v>
      </c>
      <c r="B14">
        <v>1</v>
      </c>
      <c r="C14">
        <v>1</v>
      </c>
      <c r="D14">
        <v>1</v>
      </c>
    </row>
  </sheetData>
  <mergeCells count="1">
    <mergeCell ref="B1:C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14"/>
  <sheetViews>
    <sheetView workbookViewId="0"/>
  </sheetViews>
  <sheetFormatPr defaultRowHeight="14.5" x14ac:dyDescent="0.35"/>
  <sheetData>
    <row r="1" spans="1:4" x14ac:dyDescent="0.35">
      <c r="A1" s="1" t="s">
        <v>0</v>
      </c>
      <c r="B1" s="2" t="s">
        <v>1</v>
      </c>
      <c r="C1" s="2"/>
      <c r="D1" s="1" t="s">
        <v>2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9</v>
      </c>
    </row>
    <row r="4" spans="1:4" x14ac:dyDescent="0.35">
      <c r="A4" s="1" t="s">
        <v>10</v>
      </c>
      <c r="B4">
        <v>0</v>
      </c>
      <c r="C4">
        <v>0</v>
      </c>
      <c r="D4">
        <v>0</v>
      </c>
    </row>
    <row r="5" spans="1:4" x14ac:dyDescent="0.35">
      <c r="A5" s="1" t="s">
        <v>11</v>
      </c>
      <c r="B5">
        <v>0</v>
      </c>
      <c r="C5">
        <v>0</v>
      </c>
      <c r="D5">
        <v>0</v>
      </c>
    </row>
    <row r="6" spans="1:4" x14ac:dyDescent="0.35">
      <c r="A6" s="1" t="s">
        <v>12</v>
      </c>
      <c r="B6">
        <v>0</v>
      </c>
      <c r="C6">
        <v>0</v>
      </c>
      <c r="D6">
        <v>0</v>
      </c>
    </row>
    <row r="7" spans="1:4" x14ac:dyDescent="0.35">
      <c r="A7" s="1" t="s">
        <v>13</v>
      </c>
      <c r="B7">
        <v>0</v>
      </c>
      <c r="C7">
        <v>0</v>
      </c>
      <c r="D7">
        <v>0</v>
      </c>
    </row>
    <row r="8" spans="1:4" x14ac:dyDescent="0.35">
      <c r="A8" s="1" t="s">
        <v>14</v>
      </c>
      <c r="B8">
        <v>0</v>
      </c>
      <c r="C8">
        <v>0</v>
      </c>
      <c r="D8">
        <v>0</v>
      </c>
    </row>
    <row r="9" spans="1:4" x14ac:dyDescent="0.35">
      <c r="A9" s="1" t="s">
        <v>15</v>
      </c>
      <c r="B9">
        <v>0</v>
      </c>
      <c r="C9">
        <v>0</v>
      </c>
      <c r="D9">
        <v>0</v>
      </c>
    </row>
    <row r="10" spans="1:4" x14ac:dyDescent="0.35">
      <c r="A10" s="1" t="s">
        <v>16</v>
      </c>
      <c r="B10">
        <v>0</v>
      </c>
      <c r="C10">
        <v>0</v>
      </c>
      <c r="D10">
        <v>0</v>
      </c>
    </row>
    <row r="11" spans="1:4" x14ac:dyDescent="0.35">
      <c r="A11" s="1" t="s">
        <v>17</v>
      </c>
      <c r="B11">
        <v>0</v>
      </c>
      <c r="C11">
        <v>0</v>
      </c>
      <c r="D11">
        <v>0</v>
      </c>
    </row>
    <row r="12" spans="1:4" x14ac:dyDescent="0.35">
      <c r="A12" s="1" t="s">
        <v>18</v>
      </c>
      <c r="B12">
        <v>0</v>
      </c>
      <c r="C12">
        <v>0</v>
      </c>
      <c r="D12">
        <v>0</v>
      </c>
    </row>
    <row r="13" spans="1:4" x14ac:dyDescent="0.35">
      <c r="A13" s="1" t="s">
        <v>19</v>
      </c>
      <c r="B13">
        <v>0</v>
      </c>
      <c r="C13">
        <v>0</v>
      </c>
      <c r="D13">
        <v>0</v>
      </c>
    </row>
    <row r="14" spans="1:4" x14ac:dyDescent="0.35">
      <c r="A14" s="1" t="s">
        <v>20</v>
      </c>
      <c r="B14">
        <v>0</v>
      </c>
      <c r="C14">
        <v>0</v>
      </c>
      <c r="D14">
        <v>0</v>
      </c>
    </row>
  </sheetData>
  <mergeCells count="1">
    <mergeCell ref="B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12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37</v>
      </c>
    </row>
    <row r="2" spans="1:2" x14ac:dyDescent="0.35">
      <c r="A2" s="1" t="s">
        <v>10</v>
      </c>
      <c r="B2">
        <v>1E+30</v>
      </c>
    </row>
    <row r="3" spans="1:2" x14ac:dyDescent="0.35">
      <c r="A3" s="1" t="s">
        <v>11</v>
      </c>
      <c r="B3">
        <v>1E+30</v>
      </c>
    </row>
    <row r="4" spans="1:2" x14ac:dyDescent="0.35">
      <c r="A4" s="1" t="s">
        <v>12</v>
      </c>
      <c r="B4">
        <v>1E+30</v>
      </c>
    </row>
    <row r="5" spans="1:2" x14ac:dyDescent="0.35">
      <c r="A5" s="1" t="s">
        <v>13</v>
      </c>
      <c r="B5">
        <v>1E+30</v>
      </c>
    </row>
    <row r="6" spans="1:2" x14ac:dyDescent="0.35">
      <c r="A6" s="1" t="s">
        <v>14</v>
      </c>
      <c r="B6">
        <v>1E+30</v>
      </c>
    </row>
    <row r="7" spans="1:2" x14ac:dyDescent="0.35">
      <c r="A7" s="1" t="s">
        <v>15</v>
      </c>
      <c r="B7">
        <v>1E+30</v>
      </c>
    </row>
    <row r="8" spans="1:2" x14ac:dyDescent="0.35">
      <c r="A8" s="1" t="s">
        <v>16</v>
      </c>
      <c r="B8">
        <v>1E+30</v>
      </c>
    </row>
    <row r="9" spans="1:2" x14ac:dyDescent="0.35">
      <c r="A9" s="1" t="s">
        <v>17</v>
      </c>
      <c r="B9">
        <v>1E+30</v>
      </c>
    </row>
    <row r="10" spans="1:2" x14ac:dyDescent="0.35">
      <c r="A10" s="1" t="s">
        <v>18</v>
      </c>
      <c r="B10">
        <v>1E+30</v>
      </c>
    </row>
    <row r="11" spans="1:2" x14ac:dyDescent="0.35">
      <c r="A11" s="1" t="s">
        <v>19</v>
      </c>
      <c r="B11">
        <v>1E+30</v>
      </c>
    </row>
    <row r="12" spans="1:2" x14ac:dyDescent="0.35">
      <c r="A12" s="1" t="s">
        <v>20</v>
      </c>
      <c r="B12">
        <v>1E+30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12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38</v>
      </c>
    </row>
    <row r="2" spans="1:2" x14ac:dyDescent="0.35">
      <c r="A2" s="1" t="s">
        <v>10</v>
      </c>
      <c r="B2">
        <v>1E+30</v>
      </c>
    </row>
    <row r="3" spans="1:2" x14ac:dyDescent="0.35">
      <c r="A3" s="1" t="s">
        <v>11</v>
      </c>
      <c r="B3">
        <v>1E+30</v>
      </c>
    </row>
    <row r="4" spans="1:2" x14ac:dyDescent="0.35">
      <c r="A4" s="1" t="s">
        <v>12</v>
      </c>
      <c r="B4">
        <v>1E+30</v>
      </c>
    </row>
    <row r="5" spans="1:2" x14ac:dyDescent="0.35">
      <c r="A5" s="1" t="s">
        <v>13</v>
      </c>
      <c r="B5">
        <v>1E+30</v>
      </c>
    </row>
    <row r="6" spans="1:2" x14ac:dyDescent="0.35">
      <c r="A6" s="1" t="s">
        <v>14</v>
      </c>
      <c r="B6">
        <v>1E+30</v>
      </c>
    </row>
    <row r="7" spans="1:2" x14ac:dyDescent="0.35">
      <c r="A7" s="1" t="s">
        <v>15</v>
      </c>
      <c r="B7">
        <v>1E+30</v>
      </c>
    </row>
    <row r="8" spans="1:2" x14ac:dyDescent="0.35">
      <c r="A8" s="1" t="s">
        <v>16</v>
      </c>
      <c r="B8">
        <v>1E+30</v>
      </c>
    </row>
    <row r="9" spans="1:2" x14ac:dyDescent="0.35">
      <c r="A9" s="1" t="s">
        <v>17</v>
      </c>
      <c r="B9">
        <v>1E+30</v>
      </c>
    </row>
    <row r="10" spans="1:2" x14ac:dyDescent="0.35">
      <c r="A10" s="1" t="s">
        <v>18</v>
      </c>
      <c r="B10">
        <v>1E+30</v>
      </c>
    </row>
    <row r="11" spans="1:2" x14ac:dyDescent="0.35">
      <c r="A11" s="1" t="s">
        <v>19</v>
      </c>
      <c r="B11">
        <v>1E+30</v>
      </c>
    </row>
    <row r="12" spans="1:2" x14ac:dyDescent="0.35">
      <c r="A12" s="1" t="s">
        <v>20</v>
      </c>
      <c r="B12">
        <v>1E+30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12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39</v>
      </c>
    </row>
    <row r="2" spans="1:2" x14ac:dyDescent="0.35">
      <c r="A2" s="1" t="s">
        <v>10</v>
      </c>
      <c r="B2">
        <v>10000000000</v>
      </c>
    </row>
    <row r="3" spans="1:2" x14ac:dyDescent="0.35">
      <c r="A3" s="1" t="s">
        <v>11</v>
      </c>
      <c r="B3">
        <v>10000000000</v>
      </c>
    </row>
    <row r="4" spans="1:2" x14ac:dyDescent="0.35">
      <c r="A4" s="1" t="s">
        <v>12</v>
      </c>
      <c r="B4">
        <v>10000000000</v>
      </c>
    </row>
    <row r="5" spans="1:2" x14ac:dyDescent="0.35">
      <c r="A5" s="1" t="s">
        <v>13</v>
      </c>
      <c r="B5">
        <v>10000000000</v>
      </c>
    </row>
    <row r="6" spans="1:2" x14ac:dyDescent="0.35">
      <c r="A6" s="1" t="s">
        <v>14</v>
      </c>
      <c r="B6">
        <v>10000000000</v>
      </c>
    </row>
    <row r="7" spans="1:2" x14ac:dyDescent="0.35">
      <c r="A7" s="1" t="s">
        <v>15</v>
      </c>
      <c r="B7">
        <v>10000000000</v>
      </c>
    </row>
    <row r="8" spans="1:2" x14ac:dyDescent="0.35">
      <c r="A8" s="1" t="s">
        <v>16</v>
      </c>
      <c r="B8">
        <v>10000000000</v>
      </c>
    </row>
    <row r="9" spans="1:2" x14ac:dyDescent="0.35">
      <c r="A9" s="1" t="s">
        <v>17</v>
      </c>
      <c r="B9">
        <v>10000000000</v>
      </c>
    </row>
    <row r="10" spans="1:2" x14ac:dyDescent="0.35">
      <c r="A10" s="1" t="s">
        <v>18</v>
      </c>
      <c r="B10">
        <v>10000000000</v>
      </c>
    </row>
    <row r="11" spans="1:2" x14ac:dyDescent="0.35">
      <c r="A11" s="1" t="s">
        <v>19</v>
      </c>
      <c r="B11">
        <v>10000000000</v>
      </c>
    </row>
    <row r="12" spans="1:2" x14ac:dyDescent="0.35">
      <c r="A12" s="1" t="s">
        <v>20</v>
      </c>
      <c r="B12">
        <v>10000000000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4"/>
  <sheetViews>
    <sheetView workbookViewId="0"/>
  </sheetViews>
  <sheetFormatPr defaultRowHeight="14.5" x14ac:dyDescent="0.35"/>
  <sheetData>
    <row r="1" spans="1:4" x14ac:dyDescent="0.35">
      <c r="A1" s="1" t="s">
        <v>0</v>
      </c>
      <c r="B1" s="2" t="s">
        <v>1</v>
      </c>
      <c r="C1" s="2"/>
      <c r="D1" s="1" t="s">
        <v>2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33</v>
      </c>
    </row>
    <row r="4" spans="1:4" x14ac:dyDescent="0.35">
      <c r="A4" s="1" t="s">
        <v>40</v>
      </c>
      <c r="B4">
        <v>0</v>
      </c>
      <c r="C4">
        <v>0</v>
      </c>
      <c r="D4">
        <v>0</v>
      </c>
    </row>
  </sheetData>
  <mergeCells count="1">
    <mergeCell ref="B1:C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12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41</v>
      </c>
    </row>
    <row r="2" spans="1:2" x14ac:dyDescent="0.35">
      <c r="A2" s="1" t="s">
        <v>10</v>
      </c>
      <c r="B2">
        <v>0</v>
      </c>
    </row>
    <row r="3" spans="1:2" x14ac:dyDescent="0.35">
      <c r="A3" s="1" t="s">
        <v>11</v>
      </c>
      <c r="B3">
        <v>0</v>
      </c>
    </row>
    <row r="4" spans="1:2" x14ac:dyDescent="0.35">
      <c r="A4" s="1" t="s">
        <v>12</v>
      </c>
      <c r="B4">
        <v>0</v>
      </c>
    </row>
    <row r="5" spans="1:2" x14ac:dyDescent="0.35">
      <c r="A5" s="1" t="s">
        <v>13</v>
      </c>
      <c r="B5">
        <v>0</v>
      </c>
    </row>
    <row r="6" spans="1:2" x14ac:dyDescent="0.35">
      <c r="A6" s="1" t="s">
        <v>14</v>
      </c>
      <c r="B6">
        <v>0</v>
      </c>
    </row>
    <row r="7" spans="1:2" x14ac:dyDescent="0.35">
      <c r="A7" s="1" t="s">
        <v>15</v>
      </c>
      <c r="B7">
        <v>0</v>
      </c>
    </row>
    <row r="8" spans="1:2" x14ac:dyDescent="0.35">
      <c r="A8" s="1" t="s">
        <v>16</v>
      </c>
      <c r="B8">
        <v>0</v>
      </c>
    </row>
    <row r="9" spans="1:2" x14ac:dyDescent="0.35">
      <c r="A9" s="1" t="s">
        <v>17</v>
      </c>
      <c r="B9">
        <v>0</v>
      </c>
    </row>
    <row r="10" spans="1:2" x14ac:dyDescent="0.35">
      <c r="A10" s="1" t="s">
        <v>18</v>
      </c>
      <c r="B10">
        <v>0</v>
      </c>
    </row>
    <row r="11" spans="1:2" x14ac:dyDescent="0.35">
      <c r="A11" s="1" t="s">
        <v>19</v>
      </c>
      <c r="B11">
        <v>0</v>
      </c>
    </row>
    <row r="12" spans="1:2" x14ac:dyDescent="0.35">
      <c r="A12" s="1" t="s">
        <v>20</v>
      </c>
      <c r="B12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12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42</v>
      </c>
    </row>
    <row r="2" spans="1:2" x14ac:dyDescent="0.35">
      <c r="A2" s="1" t="s">
        <v>10</v>
      </c>
      <c r="B2">
        <v>0</v>
      </c>
    </row>
    <row r="3" spans="1:2" x14ac:dyDescent="0.35">
      <c r="A3" s="1" t="s">
        <v>11</v>
      </c>
      <c r="B3">
        <v>0</v>
      </c>
    </row>
    <row r="4" spans="1:2" x14ac:dyDescent="0.35">
      <c r="A4" s="1" t="s">
        <v>12</v>
      </c>
      <c r="B4">
        <v>0</v>
      </c>
    </row>
    <row r="5" spans="1:2" x14ac:dyDescent="0.35">
      <c r="A5" s="1" t="s">
        <v>13</v>
      </c>
      <c r="B5">
        <v>0</v>
      </c>
    </row>
    <row r="6" spans="1:2" x14ac:dyDescent="0.35">
      <c r="A6" s="1" t="s">
        <v>14</v>
      </c>
      <c r="B6">
        <v>0</v>
      </c>
    </row>
    <row r="7" spans="1:2" x14ac:dyDescent="0.35">
      <c r="A7" s="1" t="s">
        <v>15</v>
      </c>
      <c r="B7">
        <v>0</v>
      </c>
    </row>
    <row r="8" spans="1:2" x14ac:dyDescent="0.35">
      <c r="A8" s="1" t="s">
        <v>16</v>
      </c>
      <c r="B8">
        <v>0</v>
      </c>
    </row>
    <row r="9" spans="1:2" x14ac:dyDescent="0.35">
      <c r="A9" s="1" t="s">
        <v>17</v>
      </c>
      <c r="B9">
        <v>0</v>
      </c>
    </row>
    <row r="10" spans="1:2" x14ac:dyDescent="0.35">
      <c r="A10" s="1" t="s">
        <v>18</v>
      </c>
      <c r="B10">
        <v>0</v>
      </c>
    </row>
    <row r="11" spans="1:2" x14ac:dyDescent="0.35">
      <c r="A11" s="1" t="s">
        <v>19</v>
      </c>
      <c r="B11">
        <v>0</v>
      </c>
    </row>
    <row r="12" spans="1:2" x14ac:dyDescent="0.35">
      <c r="A12" s="1" t="s">
        <v>20</v>
      </c>
      <c r="B12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0</v>
      </c>
      <c r="B1" s="2" t="s">
        <v>1</v>
      </c>
      <c r="C1" s="2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1E+20</v>
      </c>
      <c r="C4">
        <v>1E+20</v>
      </c>
      <c r="D4">
        <v>1E+20</v>
      </c>
      <c r="E4">
        <v>1E+20</v>
      </c>
    </row>
    <row r="5" spans="1:5" x14ac:dyDescent="0.35">
      <c r="A5" s="1" t="s">
        <v>11</v>
      </c>
      <c r="B5">
        <v>1E+20</v>
      </c>
      <c r="C5">
        <v>1E+20</v>
      </c>
      <c r="D5">
        <v>1E+20</v>
      </c>
      <c r="E5">
        <v>1E+20</v>
      </c>
    </row>
    <row r="6" spans="1:5" x14ac:dyDescent="0.35">
      <c r="A6" s="1" t="s">
        <v>12</v>
      </c>
      <c r="B6">
        <v>1E+20</v>
      </c>
      <c r="C6">
        <v>1E+20</v>
      </c>
      <c r="D6">
        <v>1E+20</v>
      </c>
      <c r="E6">
        <v>1E+20</v>
      </c>
    </row>
    <row r="7" spans="1:5" x14ac:dyDescent="0.35">
      <c r="A7" s="1" t="s">
        <v>13</v>
      </c>
      <c r="B7">
        <v>1E+20</v>
      </c>
      <c r="C7">
        <v>1E+20</v>
      </c>
      <c r="D7">
        <v>1E+20</v>
      </c>
      <c r="E7">
        <v>1E+20</v>
      </c>
    </row>
    <row r="8" spans="1:5" x14ac:dyDescent="0.35">
      <c r="A8" s="1" t="s">
        <v>14</v>
      </c>
      <c r="B8">
        <v>1E+20</v>
      </c>
      <c r="C8">
        <v>1E+20</v>
      </c>
      <c r="D8">
        <v>1E+20</v>
      </c>
      <c r="E8">
        <v>1E+20</v>
      </c>
    </row>
    <row r="9" spans="1:5" x14ac:dyDescent="0.35">
      <c r="A9" s="1" t="s">
        <v>15</v>
      </c>
      <c r="B9">
        <v>1E+20</v>
      </c>
      <c r="C9">
        <v>1E+20</v>
      </c>
      <c r="D9">
        <v>1E+20</v>
      </c>
      <c r="E9">
        <v>1E+20</v>
      </c>
    </row>
    <row r="10" spans="1:5" x14ac:dyDescent="0.35">
      <c r="A10" s="1" t="s">
        <v>16</v>
      </c>
      <c r="B10">
        <v>1E+20</v>
      </c>
      <c r="C10">
        <v>1E+20</v>
      </c>
      <c r="D10">
        <v>1E+20</v>
      </c>
      <c r="E10">
        <v>1E+20</v>
      </c>
    </row>
    <row r="11" spans="1:5" x14ac:dyDescent="0.35">
      <c r="A11" s="1" t="s">
        <v>17</v>
      </c>
      <c r="B11">
        <v>1E+20</v>
      </c>
      <c r="C11">
        <v>1E+20</v>
      </c>
      <c r="D11">
        <v>1E+20</v>
      </c>
      <c r="E11">
        <v>1E+20</v>
      </c>
    </row>
    <row r="12" spans="1:5" x14ac:dyDescent="0.35">
      <c r="A12" s="1" t="s">
        <v>18</v>
      </c>
      <c r="B12">
        <v>1E+20</v>
      </c>
      <c r="C12">
        <v>1E+20</v>
      </c>
      <c r="D12">
        <v>1E+20</v>
      </c>
      <c r="E12">
        <v>1E+20</v>
      </c>
    </row>
    <row r="13" spans="1:5" x14ac:dyDescent="0.35">
      <c r="A13" s="1" t="s">
        <v>19</v>
      </c>
      <c r="B13">
        <v>1E+20</v>
      </c>
      <c r="C13">
        <v>1E+20</v>
      </c>
      <c r="D13">
        <v>1E+20</v>
      </c>
      <c r="E13">
        <v>1E+20</v>
      </c>
    </row>
    <row r="14" spans="1:5" x14ac:dyDescent="0.35">
      <c r="A14" s="1" t="s">
        <v>20</v>
      </c>
      <c r="B14">
        <v>1E+20</v>
      </c>
      <c r="C14">
        <v>1E+20</v>
      </c>
      <c r="D14">
        <v>1E+20</v>
      </c>
      <c r="E14">
        <v>1E+20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F_OM</vt:lpstr>
      <vt:lpstr>V_OM</vt:lpstr>
      <vt:lpstr>Residual_capacity</vt:lpstr>
      <vt:lpstr>Specific_emission</vt:lpstr>
      <vt:lpstr>Specific_land_usage</vt:lpstr>
      <vt:lpstr>Emission_capture_efficiency</vt:lpstr>
      <vt:lpstr>Emission_tax</vt:lpstr>
      <vt:lpstr>Fix_taxsub</vt:lpstr>
      <vt:lpstr>AnnualProd_perunit_capacity</vt:lpstr>
      <vt:lpstr>INV</vt:lpstr>
      <vt:lpstr>Investment_taxsub</vt:lpstr>
      <vt:lpstr>Decom_cost</vt:lpstr>
      <vt:lpstr>Discount_rate</vt:lpstr>
      <vt:lpstr>Tech_lifetime</vt:lpstr>
      <vt:lpstr>Economic_lifetime</vt:lpstr>
      <vt:lpstr>Time_of_construction</vt:lpstr>
      <vt:lpstr>Interest_rate</vt:lpstr>
      <vt:lpstr>Modular_cap_unit</vt:lpstr>
      <vt:lpstr>Demand</vt:lpstr>
      <vt:lpstr>Tech_availability</vt:lpstr>
      <vt:lpstr>Min_capacity_factor_tech</vt:lpstr>
      <vt:lpstr>Max_capacity_factor_tech</vt:lpstr>
      <vt:lpstr>capacity_factor_resource</vt:lpstr>
      <vt:lpstr>Min_totalcap</vt:lpstr>
      <vt:lpstr>Max_totalcap</vt:lpstr>
      <vt:lpstr>Min_newcap</vt:lpstr>
      <vt:lpstr>Max_newcap</vt:lpstr>
      <vt:lpstr>Tech_efficiency</vt:lpstr>
      <vt:lpstr>Max_production</vt:lpstr>
      <vt:lpstr>Min_production</vt:lpstr>
      <vt:lpstr>Max_production_share</vt:lpstr>
      <vt:lpstr>Min_production_share</vt:lpstr>
      <vt:lpstr>Emission_cap_annual</vt:lpstr>
      <vt:lpstr>Emission_cap_annual_power</vt:lpstr>
      <vt:lpstr>Emission_Storage_annual</vt:lpstr>
      <vt:lpstr>Renewable_tech_selection</vt:lpstr>
      <vt:lpstr>Min_RES_production_share</vt:lpstr>
      <vt:lpstr>Min_RES_electric_share</vt:lpstr>
      <vt:lpstr>Max_land_usage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Nicolo' Stevanato</cp:lastModifiedBy>
  <dcterms:created xsi:type="dcterms:W3CDTF">2026-05-08T07:43:51Z</dcterms:created>
  <dcterms:modified xsi:type="dcterms:W3CDTF">2026-05-08T09:25:08Z</dcterms:modified>
</cp:coreProperties>
</file>